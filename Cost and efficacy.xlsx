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ifanli/Downloads/PMEDICINE-D-25-03549/"/>
    </mc:Choice>
  </mc:AlternateContent>
  <xr:revisionPtr revIDLastSave="0" documentId="13_ncr:1_{85190EA2-C642-D843-85CB-CDFC8287E4E9}" xr6:coauthVersionLast="47" xr6:coauthVersionMax="47" xr10:uidLastSave="{00000000-0000-0000-0000-000000000000}"/>
  <bookViews>
    <workbookView xWindow="1320" yWindow="780" windowWidth="32280" windowHeight="20220" activeTab="6" xr2:uid="{19B63992-B742-6A4E-A091-E0CA12F0F938}"/>
  </bookViews>
  <sheets>
    <sheet name="New_meta_Com_Aug" sheetId="3" r:id="rId1"/>
    <sheet name="New_meta_ESK" sheetId="5" r:id="rId2"/>
    <sheet name="Drug_costs" sheetId="4" r:id="rId3"/>
    <sheet name="Cost_component" sheetId="8" r:id="rId4"/>
    <sheet name="Life table" sheetId="11" r:id="rId5"/>
    <sheet name="Hypothetical population" sheetId="10" r:id="rId6"/>
    <sheet name="tpTRD2DEAD" sheetId="9" r:id="rId7"/>
  </sheets>
  <externalReferences>
    <externalReference r:id="rId8"/>
    <externalReference r:id="rId9"/>
  </externalReferences>
  <definedNames>
    <definedName name="_xlnm._FilterDatabase" localSheetId="5" hidden="1">'Hypothetical population'!$D$1:$J$1000</definedName>
    <definedName name="age">[1]Parameters!$B$8</definedName>
    <definedName name="c_3rdIP">[2]Parameters!$B$9</definedName>
    <definedName name="c_3rdOP">[2]Parameters!$B$6</definedName>
    <definedName name="c_4thIP">[2]Parameters!$B$10</definedName>
    <definedName name="c_4thOP">[2]Parameters!$B$7</definedName>
    <definedName name="c_5thIP">[2]Parameters!$B$11</definedName>
    <definedName name="c_5thOP">[2]Parameters!$B$8</definedName>
    <definedName name="c_AUG">[2]Parameters!$B$18</definedName>
    <definedName name="c_COM">[2]Parameters!$B$19</definedName>
    <definedName name="c_ESK_HRU1">[2]Parameters!$B$12</definedName>
    <definedName name="c_ESK_HRU2">[2]Parameters!$B$13</definedName>
    <definedName name="c_ESK_HRU3">[2]Parameters!$B$14</definedName>
    <definedName name="c_ESK_TX1">[2]Parameters!$B$15</definedName>
    <definedName name="c_ESK_TX2">[2]Parameters!$B$16</definedName>
    <definedName name="c_ESK_TX3">[2]Parameters!$B$17</definedName>
    <definedName name="c_PSY">[2]Parameters!$B$20</definedName>
    <definedName name="c_rTMS">[2]Parameters!$B$21</definedName>
    <definedName name="cariprazine_ucost">Drug_costs!$B$6</definedName>
    <definedName name="cariprazine_udose">Drug_costs!$D$6</definedName>
    <definedName name="cDR">[1]Parameters!$B$11</definedName>
    <definedName name="cPrimary">[1]Parameters!$B$32</definedName>
    <definedName name="cRevision">[1]Parameters!$B$33</definedName>
    <definedName name="cStandard">[1]Parameters!$B$35</definedName>
    <definedName name="cSuccess">[1]Parameters!$B$34</definedName>
    <definedName name="Cycle_length">[2]Parameters!$B$2</definedName>
    <definedName name="d_rate">[2]Parameters!$B$43</definedName>
    <definedName name="esketamine_ucost">Drug_costs!$B$2</definedName>
    <definedName name="esketamine_udose">Drug_costs!$D$2</definedName>
    <definedName name="gamma">[1]Parameters!$B$26</definedName>
    <definedName name="injection_ucost">#REF!</definedName>
    <definedName name="lambda">[1]Parameters!$B$25</definedName>
    <definedName name="lifetable">'[1]Life tables'!$C$15:$E$20</definedName>
    <definedName name="male">[1]Parameters!$B$9</definedName>
    <definedName name="mean_age">'Hypothetical population'!$B$3</definedName>
    <definedName name="mianserin_ucost">Drug_costs!$B$5</definedName>
    <definedName name="mianserin_udose">Drug_costs!$D$5</definedName>
    <definedName name="mirtazapine_ucost">Drug_costs!$B$4</definedName>
    <definedName name="mirtazapine_udose">Drug_costs!$D$4</definedName>
    <definedName name="Mode">[2]Parameters!$B$3</definedName>
    <definedName name="oDR">[1]Parameters!$B$12</definedName>
    <definedName name="olanzapine_ucost">Drug_costs!$B$3</definedName>
    <definedName name="olanzapine_udose">Drug_costs!$D$3</definedName>
    <definedName name="omrPTHR">[1]Parameters!$B$16</definedName>
    <definedName name="omrRTHR">[1]Parameters!$B$17</definedName>
    <definedName name="p_3rdREM2REL">[2]Parameters!$B$29</definedName>
    <definedName name="p_3rdRES2REL">[2]Parameters!$B$28</definedName>
    <definedName name="p_3rdTX2REM">[2]Parameters!$B$27</definedName>
    <definedName name="p_3rdTX2RES">[2]Parameters!$B$26</definedName>
    <definedName name="p_4thREM2REL">[2]Parameters!$B$33</definedName>
    <definedName name="p_4thRES2REL">[2]Parameters!$B$32</definedName>
    <definedName name="p_4thTX2REM">[2]Parameters!$B$31</definedName>
    <definedName name="p_4thTX2RES">[2]Parameters!$B$30</definedName>
    <definedName name="p_5thREM2REL">[2]Parameters!$B$37</definedName>
    <definedName name="p_5thRES2REL">[2]Parameters!$B$36</definedName>
    <definedName name="p_5thTX2REM">[2]Parameters!$B$35</definedName>
    <definedName name="p_5thTX2RES">[2]Parameters!$B$34</definedName>
    <definedName name="p_death1">[2]Parameters!$B$38</definedName>
    <definedName name="p_death2">[2]Parameters!$B$39</definedName>
    <definedName name="p_death3">[2]Parameters!$B$40</definedName>
    <definedName name="p_death4">[2]Parameters!$B$41</definedName>
    <definedName name="p_death5">[2]Parameters!$B$42</definedName>
    <definedName name="price_down_factor">[2]Price_reduction!$B$2</definedName>
    <definedName name="prop_female">'Hypothetical population'!$B$5</definedName>
    <definedName name="quetiapine_ucost">Drug_costs!$B$7</definedName>
    <definedName name="quetiapine_udose">Drug_costs!$D$7</definedName>
    <definedName name="rr_AUG_rem2rel">[2]Parameters!$B$54</definedName>
    <definedName name="rr_AUG_remission">[2]Parameters!$B$52</definedName>
    <definedName name="rr_AUG_res2rel">[2]Parameters!$B$55</definedName>
    <definedName name="rr_AUG_response">[2]Parameters!$B$53</definedName>
    <definedName name="rr_COM_rem2rel">[2]Parameters!$B$50</definedName>
    <definedName name="rr_COM_remission">[2]Parameters!$B$48</definedName>
    <definedName name="rr_COM_res2rel">[2]Parameters!$B$51</definedName>
    <definedName name="rr_COM_response">[2]Parameters!$B$49</definedName>
    <definedName name="rr_cPSY_rem2rel">[2]Parameters!$B$62</definedName>
    <definedName name="rr_cPSY_remission">[2]Parameters!$B$60</definedName>
    <definedName name="rr_cPSY_res2rel">[2]Parameters!$B$63</definedName>
    <definedName name="rr_cPSY_response">[2]Parameters!$B$61</definedName>
    <definedName name="rr_ESK_rem2rel">[2]Parameters!$B$46</definedName>
    <definedName name="rr_ESK_remission">[2]Parameters!$B$44</definedName>
    <definedName name="rr_ESK_res2rel">[2]Parameters!$B$47</definedName>
    <definedName name="rr_ESK_response">[2]Parameters!$B$45</definedName>
    <definedName name="rr_mPSY_rem2rel">[2]Parameters!$B$58</definedName>
    <definedName name="rr_mPSY_remission">[2]Parameters!$B$56</definedName>
    <definedName name="rr_mPSY_res2rel">[2]Parameters!$B$59</definedName>
    <definedName name="rr_mPSY_response">[2]Parameters!$B$57</definedName>
    <definedName name="rr_TMS_rem2rel">[2]Parameters!$B$66</definedName>
    <definedName name="rr_TMS_remission">[2]Parameters!$B$64</definedName>
    <definedName name="rr_TMS_res2rel">[2]Parameters!$B$67</definedName>
    <definedName name="rr_TMS_response">[2]Parameters!$B$65</definedName>
    <definedName name="rrr">[1]Parameters!$B$18</definedName>
    <definedName name="sd_age">'Hypothetical population'!$B$4</definedName>
    <definedName name="sopc_ucost">#REF!</definedName>
    <definedName name="standardRR">'[2]Standard care'!#REF!</definedName>
    <definedName name="u_remission">[2]Parameters!$B$22</definedName>
    <definedName name="u_response">[2]Parameters!$B$23</definedName>
    <definedName name="u_tx">[2]Parameters!$B$25</definedName>
    <definedName name="uRevision">[1]Parameters!$B$43</definedName>
    <definedName name="uSuccessP">[1]Parameters!$B$41</definedName>
    <definedName name="uSuccessR">[1]Parameters!$B$42</definedName>
    <definedName name="WTP_assumption_per_QALY">[2]CEAC!$B$2</definedName>
    <definedName name="ziprasidone_ucost">Drug_costs!$B$8</definedName>
    <definedName name="ziprasidone_udose">Drug_costs!$D$8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D2" i="10"/>
  <c r="E2" i="10"/>
  <c r="F2" i="10"/>
  <c r="I2" i="10"/>
  <c r="N2" i="10"/>
  <c r="O2" i="10"/>
  <c r="D3" i="10"/>
  <c r="E3" i="10"/>
  <c r="F3" i="10"/>
  <c r="I3" i="10"/>
  <c r="N3" i="10"/>
  <c r="O3" i="10"/>
  <c r="D4" i="10"/>
  <c r="E4" i="10"/>
  <c r="F4" i="10"/>
  <c r="I4" i="10"/>
  <c r="N4" i="10"/>
  <c r="O4" i="10"/>
  <c r="D5" i="10"/>
  <c r="E5" i="10"/>
  <c r="F5" i="10"/>
  <c r="I5" i="10"/>
  <c r="N5" i="10"/>
  <c r="O5" i="10"/>
  <c r="D6" i="10"/>
  <c r="E6" i="10"/>
  <c r="F6" i="10"/>
  <c r="I6" i="10"/>
  <c r="N6" i="10"/>
  <c r="J342" i="10" s="1"/>
  <c r="O6" i="10"/>
  <c r="D7" i="10"/>
  <c r="E7" i="10"/>
  <c r="F7" i="10"/>
  <c r="I7" i="10"/>
  <c r="N7" i="10"/>
  <c r="O7" i="10"/>
  <c r="J131" i="10" s="1"/>
  <c r="D8" i="10"/>
  <c r="E8" i="10"/>
  <c r="F8" i="10"/>
  <c r="I8" i="10"/>
  <c r="N8" i="10"/>
  <c r="O8" i="10"/>
  <c r="B9" i="10"/>
  <c r="D9" i="10"/>
  <c r="E9" i="10"/>
  <c r="F9" i="10"/>
  <c r="I9" i="10"/>
  <c r="N9" i="10"/>
  <c r="O9" i="10"/>
  <c r="B10" i="10"/>
  <c r="D10" i="10"/>
  <c r="E10" i="10"/>
  <c r="F10" i="10"/>
  <c r="I10" i="10"/>
  <c r="N10" i="10"/>
  <c r="O10" i="10"/>
  <c r="D11" i="10"/>
  <c r="E11" i="10"/>
  <c r="F11" i="10"/>
  <c r="I11" i="10"/>
  <c r="N11" i="10"/>
  <c r="O11" i="10"/>
  <c r="D12" i="10"/>
  <c r="E12" i="10"/>
  <c r="F12" i="10"/>
  <c r="I12" i="10"/>
  <c r="N12" i="10"/>
  <c r="O12" i="10"/>
  <c r="D13" i="10"/>
  <c r="E13" i="10"/>
  <c r="F13" i="10"/>
  <c r="I13" i="10"/>
  <c r="N13" i="10"/>
  <c r="O13" i="10"/>
  <c r="D14" i="10"/>
  <c r="E14" i="10"/>
  <c r="F14" i="10"/>
  <c r="I14" i="10"/>
  <c r="N14" i="10"/>
  <c r="O14" i="10"/>
  <c r="J316" i="10" s="1"/>
  <c r="D15" i="10"/>
  <c r="E15" i="10"/>
  <c r="F15" i="10"/>
  <c r="I15" i="10"/>
  <c r="N15" i="10"/>
  <c r="O15" i="10"/>
  <c r="D16" i="10"/>
  <c r="E16" i="10"/>
  <c r="F16" i="10"/>
  <c r="I16" i="10"/>
  <c r="N16" i="10"/>
  <c r="O16" i="10"/>
  <c r="D17" i="10"/>
  <c r="E17" i="10"/>
  <c r="F17" i="10"/>
  <c r="I17" i="10"/>
  <c r="N17" i="10"/>
  <c r="O17" i="10"/>
  <c r="D18" i="10"/>
  <c r="E18" i="10"/>
  <c r="F18" i="10"/>
  <c r="I18" i="10"/>
  <c r="J18" i="10"/>
  <c r="N18" i="10"/>
  <c r="J177" i="10" s="1"/>
  <c r="O18" i="10"/>
  <c r="D19" i="10"/>
  <c r="E19" i="10"/>
  <c r="F19" i="10"/>
  <c r="I19" i="10"/>
  <c r="N19" i="10"/>
  <c r="O19" i="10"/>
  <c r="J200" i="10" s="1"/>
  <c r="D20" i="10"/>
  <c r="E20" i="10"/>
  <c r="F20" i="10"/>
  <c r="I20" i="10"/>
  <c r="N20" i="10"/>
  <c r="O20" i="10"/>
  <c r="D21" i="10"/>
  <c r="E21" i="10"/>
  <c r="F21" i="10"/>
  <c r="I21" i="10"/>
  <c r="N21" i="10"/>
  <c r="J34" i="10" s="1"/>
  <c r="O21" i="10"/>
  <c r="D22" i="10"/>
  <c r="E22" i="10"/>
  <c r="F22" i="10"/>
  <c r="I22" i="10"/>
  <c r="N22" i="10"/>
  <c r="J220" i="10" s="1"/>
  <c r="O22" i="10"/>
  <c r="J224" i="10" s="1"/>
  <c r="D23" i="10"/>
  <c r="E23" i="10"/>
  <c r="F23" i="10"/>
  <c r="I23" i="10"/>
  <c r="N23" i="10"/>
  <c r="J216" i="10" s="1"/>
  <c r="O23" i="10"/>
  <c r="J150" i="10" s="1"/>
  <c r="D24" i="10"/>
  <c r="E24" i="10"/>
  <c r="F24" i="10"/>
  <c r="I24" i="10"/>
  <c r="J24" i="10"/>
  <c r="N24" i="10"/>
  <c r="O24" i="10"/>
  <c r="D25" i="10"/>
  <c r="E25" i="10"/>
  <c r="F25" i="10"/>
  <c r="I25" i="10"/>
  <c r="N25" i="10"/>
  <c r="J208" i="10" s="1"/>
  <c r="O25" i="10"/>
  <c r="D26" i="10"/>
  <c r="E26" i="10"/>
  <c r="F26" i="10"/>
  <c r="I26" i="10"/>
  <c r="N26" i="10"/>
  <c r="J424" i="10" s="1"/>
  <c r="O26" i="10"/>
  <c r="J263" i="10" s="1"/>
  <c r="D27" i="10"/>
  <c r="E27" i="10"/>
  <c r="F27" i="10"/>
  <c r="I27" i="10"/>
  <c r="J27" i="10"/>
  <c r="N27" i="10"/>
  <c r="O27" i="10"/>
  <c r="J538" i="10" s="1"/>
  <c r="D28" i="10"/>
  <c r="E28" i="10"/>
  <c r="F28" i="10"/>
  <c r="I28" i="10"/>
  <c r="J28" i="10"/>
  <c r="N28" i="10"/>
  <c r="J85" i="10" s="1"/>
  <c r="O28" i="10"/>
  <c r="J445" i="10" s="1"/>
  <c r="D29" i="10"/>
  <c r="E29" i="10"/>
  <c r="F29" i="10"/>
  <c r="I29" i="10"/>
  <c r="N29" i="10"/>
  <c r="O29" i="10"/>
  <c r="J71" i="10" s="1"/>
  <c r="D30" i="10"/>
  <c r="E30" i="10"/>
  <c r="F30" i="10"/>
  <c r="I30" i="10"/>
  <c r="N30" i="10"/>
  <c r="O30" i="10"/>
  <c r="J63" i="10" s="1"/>
  <c r="D31" i="10"/>
  <c r="E31" i="10"/>
  <c r="F31" i="10"/>
  <c r="I31" i="10"/>
  <c r="N31" i="10"/>
  <c r="J82" i="10" s="1"/>
  <c r="O31" i="10"/>
  <c r="D32" i="10"/>
  <c r="E32" i="10"/>
  <c r="F32" i="10"/>
  <c r="I32" i="10"/>
  <c r="J32" i="10"/>
  <c r="N32" i="10"/>
  <c r="O32" i="10"/>
  <c r="D33" i="10"/>
  <c r="E33" i="10"/>
  <c r="F33" i="10"/>
  <c r="I33" i="10"/>
  <c r="J33" i="10"/>
  <c r="N33" i="10"/>
  <c r="J138" i="10" s="1"/>
  <c r="O33" i="10"/>
  <c r="J450" i="10" s="1"/>
  <c r="D34" i="10"/>
  <c r="E34" i="10"/>
  <c r="F34" i="10"/>
  <c r="I34" i="10"/>
  <c r="N34" i="10"/>
  <c r="J258" i="10" s="1"/>
  <c r="O34" i="10"/>
  <c r="J168" i="10" s="1"/>
  <c r="D35" i="10"/>
  <c r="E35" i="10"/>
  <c r="F35" i="10"/>
  <c r="I35" i="10"/>
  <c r="N35" i="10"/>
  <c r="O35" i="10"/>
  <c r="J328" i="10" s="1"/>
  <c r="D36" i="10"/>
  <c r="E36" i="10"/>
  <c r="F36" i="10"/>
  <c r="I36" i="10"/>
  <c r="N36" i="10"/>
  <c r="O36" i="10"/>
  <c r="D37" i="10"/>
  <c r="E37" i="10"/>
  <c r="F37" i="10"/>
  <c r="I37" i="10"/>
  <c r="N37" i="10"/>
  <c r="O37" i="10"/>
  <c r="D38" i="10"/>
  <c r="E38" i="10"/>
  <c r="F38" i="10"/>
  <c r="I38" i="10"/>
  <c r="J38" i="10"/>
  <c r="N38" i="10"/>
  <c r="J223" i="10" s="1"/>
  <c r="O38" i="10"/>
  <c r="J51" i="10" s="1"/>
  <c r="D39" i="10"/>
  <c r="E39" i="10"/>
  <c r="F39" i="10"/>
  <c r="I39" i="10"/>
  <c r="N39" i="10"/>
  <c r="J23" i="10" s="1"/>
  <c r="O39" i="10"/>
  <c r="J39" i="10" s="1"/>
  <c r="D40" i="10"/>
  <c r="E40" i="10"/>
  <c r="F40" i="10"/>
  <c r="I40" i="10"/>
  <c r="N40" i="10"/>
  <c r="O40" i="10"/>
  <c r="J79" i="10" s="1"/>
  <c r="D41" i="10"/>
  <c r="E41" i="10"/>
  <c r="F41" i="10"/>
  <c r="I41" i="10"/>
  <c r="N41" i="10"/>
  <c r="O41" i="10"/>
  <c r="J7" i="10" s="1"/>
  <c r="D42" i="10"/>
  <c r="E42" i="10"/>
  <c r="F42" i="10"/>
  <c r="I42" i="10"/>
  <c r="N42" i="10"/>
  <c r="J306" i="10" s="1"/>
  <c r="O42" i="10"/>
  <c r="D43" i="10"/>
  <c r="E43" i="10"/>
  <c r="F43" i="10"/>
  <c r="I43" i="10"/>
  <c r="J43" i="10"/>
  <c r="N43" i="10"/>
  <c r="O43" i="10"/>
  <c r="J6" i="10" s="1"/>
  <c r="D44" i="10"/>
  <c r="E44" i="10"/>
  <c r="F44" i="10"/>
  <c r="I44" i="10"/>
  <c r="J44" i="10"/>
  <c r="N44" i="10"/>
  <c r="J301" i="10" s="1"/>
  <c r="O44" i="10"/>
  <c r="J10" i="10" s="1"/>
  <c r="D45" i="10"/>
  <c r="E45" i="10"/>
  <c r="F45" i="10"/>
  <c r="I45" i="10"/>
  <c r="N45" i="10"/>
  <c r="O45" i="10"/>
  <c r="J55" i="10" s="1"/>
  <c r="D46" i="10"/>
  <c r="E46" i="10"/>
  <c r="F46" i="10"/>
  <c r="I46" i="10"/>
  <c r="N46" i="10"/>
  <c r="O46" i="10"/>
  <c r="J264" i="10" s="1"/>
  <c r="D47" i="10"/>
  <c r="E47" i="10"/>
  <c r="F47" i="10"/>
  <c r="I47" i="10"/>
  <c r="N47" i="10"/>
  <c r="J98" i="10" s="1"/>
  <c r="O47" i="10"/>
  <c r="J13" i="10" s="1"/>
  <c r="D48" i="10"/>
  <c r="E48" i="10"/>
  <c r="F48" i="10"/>
  <c r="I48" i="10"/>
  <c r="N48" i="10"/>
  <c r="J218" i="10" s="1"/>
  <c r="O48" i="10"/>
  <c r="J15" i="10" s="1"/>
  <c r="D49" i="10"/>
  <c r="E49" i="10"/>
  <c r="F49" i="10"/>
  <c r="I49" i="10"/>
  <c r="N49" i="10"/>
  <c r="J95" i="10" s="1"/>
  <c r="O49" i="10"/>
  <c r="J453" i="10" s="1"/>
  <c r="D50" i="10"/>
  <c r="E50" i="10"/>
  <c r="F50" i="10"/>
  <c r="I50" i="10"/>
  <c r="N50" i="10"/>
  <c r="J400" i="10" s="1"/>
  <c r="O50" i="10"/>
  <c r="J40" i="10" s="1"/>
  <c r="D51" i="10"/>
  <c r="E51" i="10"/>
  <c r="F51" i="10"/>
  <c r="I51" i="10"/>
  <c r="N51" i="10"/>
  <c r="O51" i="10"/>
  <c r="J648" i="10" s="1"/>
  <c r="D52" i="10"/>
  <c r="E52" i="10"/>
  <c r="F52" i="10"/>
  <c r="I52" i="10"/>
  <c r="J52" i="10"/>
  <c r="N52" i="10"/>
  <c r="O52" i="10"/>
  <c r="D53" i="10"/>
  <c r="E53" i="10"/>
  <c r="F53" i="10"/>
  <c r="I53" i="10"/>
  <c r="N53" i="10"/>
  <c r="J254" i="10" s="1"/>
  <c r="O53" i="10"/>
  <c r="J357" i="10" s="1"/>
  <c r="D54" i="10"/>
  <c r="E54" i="10"/>
  <c r="F54" i="10"/>
  <c r="I54" i="10"/>
  <c r="N54" i="10"/>
  <c r="J37" i="10" s="1"/>
  <c r="O54" i="10"/>
  <c r="J74" i="10" s="1"/>
  <c r="D55" i="10"/>
  <c r="E55" i="10"/>
  <c r="F55" i="10"/>
  <c r="I55" i="10"/>
  <c r="N55" i="10"/>
  <c r="O55" i="10"/>
  <c r="J326" i="10" s="1"/>
  <c r="D56" i="10"/>
  <c r="E56" i="10"/>
  <c r="F56" i="10"/>
  <c r="I56" i="10"/>
  <c r="J56" i="10"/>
  <c r="N56" i="10"/>
  <c r="O56" i="10"/>
  <c r="J58" i="10" s="1"/>
  <c r="D57" i="10"/>
  <c r="E57" i="10"/>
  <c r="F57" i="10"/>
  <c r="I57" i="10"/>
  <c r="N57" i="10"/>
  <c r="J31" i="10" s="1"/>
  <c r="O57" i="10"/>
  <c r="D58" i="10"/>
  <c r="E58" i="10"/>
  <c r="F58" i="10"/>
  <c r="I58" i="10"/>
  <c r="N58" i="10"/>
  <c r="J944" i="10" s="1"/>
  <c r="O58" i="10"/>
  <c r="J26" i="10" s="1"/>
  <c r="D59" i="10"/>
  <c r="E59" i="10"/>
  <c r="F59" i="10"/>
  <c r="I59" i="10"/>
  <c r="N59" i="10"/>
  <c r="J382" i="10" s="1"/>
  <c r="O59" i="10"/>
  <c r="J66" i="10" s="1"/>
  <c r="D60" i="10"/>
  <c r="E60" i="10"/>
  <c r="F60" i="10"/>
  <c r="I60" i="10"/>
  <c r="N60" i="10"/>
  <c r="O60" i="10"/>
  <c r="J239" i="10" s="1"/>
  <c r="D61" i="10"/>
  <c r="E61" i="10"/>
  <c r="F61" i="10"/>
  <c r="I61" i="10"/>
  <c r="N61" i="10"/>
  <c r="J30" i="10" s="1"/>
  <c r="O61" i="10"/>
  <c r="J290" i="10" s="1"/>
  <c r="D62" i="10"/>
  <c r="E62" i="10"/>
  <c r="F62" i="10"/>
  <c r="I62" i="10"/>
  <c r="J62" i="10"/>
  <c r="N62" i="10"/>
  <c r="J29" i="10" s="1"/>
  <c r="O62" i="10"/>
  <c r="D63" i="10"/>
  <c r="E63" i="10"/>
  <c r="F63" i="10"/>
  <c r="I63" i="10"/>
  <c r="N63" i="10"/>
  <c r="J199" i="10" s="1"/>
  <c r="O63" i="10"/>
  <c r="J8" i="10" s="1"/>
  <c r="D64" i="10"/>
  <c r="E64" i="10"/>
  <c r="F64" i="10"/>
  <c r="I64" i="10"/>
  <c r="J64" i="10"/>
  <c r="N64" i="10"/>
  <c r="J270" i="10" s="1"/>
  <c r="O64" i="10"/>
  <c r="J50" i="10" s="1"/>
  <c r="D65" i="10"/>
  <c r="E65" i="10"/>
  <c r="F65" i="10"/>
  <c r="I65" i="10"/>
  <c r="J65" i="10"/>
  <c r="N65" i="10"/>
  <c r="O65" i="10"/>
  <c r="J407" i="10" s="1"/>
  <c r="D66" i="10"/>
  <c r="E66" i="10"/>
  <c r="F66" i="10"/>
  <c r="I66" i="10"/>
  <c r="N66" i="10"/>
  <c r="J560" i="10" s="1"/>
  <c r="O66" i="10"/>
  <c r="J110" i="10" s="1"/>
  <c r="D67" i="10"/>
  <c r="E67" i="10"/>
  <c r="F67" i="10"/>
  <c r="I67" i="10"/>
  <c r="N67" i="10"/>
  <c r="O67" i="10"/>
  <c r="J490" i="10" s="1"/>
  <c r="D68" i="10"/>
  <c r="E68" i="10"/>
  <c r="F68" i="10"/>
  <c r="I68" i="10"/>
  <c r="N68" i="10"/>
  <c r="O68" i="10"/>
  <c r="J14" i="10" s="1"/>
  <c r="D69" i="10"/>
  <c r="E69" i="10"/>
  <c r="F69" i="10"/>
  <c r="I69" i="10"/>
  <c r="J69" i="10"/>
  <c r="N69" i="10"/>
  <c r="J550" i="10" s="1"/>
  <c r="O69" i="10"/>
  <c r="D70" i="10"/>
  <c r="E70" i="10"/>
  <c r="F70" i="10"/>
  <c r="I70" i="10"/>
  <c r="J70" i="10"/>
  <c r="N70" i="10"/>
  <c r="J500" i="10" s="1"/>
  <c r="O70" i="10"/>
  <c r="D71" i="10"/>
  <c r="E71" i="10"/>
  <c r="F71" i="10"/>
  <c r="I71" i="10"/>
  <c r="N71" i="10"/>
  <c r="O71" i="10"/>
  <c r="J45" i="10" s="1"/>
  <c r="D72" i="10"/>
  <c r="E72" i="10"/>
  <c r="F72" i="10"/>
  <c r="I72" i="10"/>
  <c r="N72" i="10"/>
  <c r="O72" i="10"/>
  <c r="J42" i="10" s="1"/>
  <c r="D73" i="10"/>
  <c r="E73" i="10"/>
  <c r="F73" i="10"/>
  <c r="I73" i="10"/>
  <c r="N73" i="10"/>
  <c r="J192" i="10" s="1"/>
  <c r="O73" i="10"/>
  <c r="D74" i="10"/>
  <c r="E74" i="10"/>
  <c r="F74" i="10"/>
  <c r="I74" i="10"/>
  <c r="N74" i="10"/>
  <c r="J977" i="10" s="1"/>
  <c r="O74" i="10"/>
  <c r="J248" i="10" s="1"/>
  <c r="D75" i="10"/>
  <c r="E75" i="10"/>
  <c r="F75" i="10"/>
  <c r="I75" i="10"/>
  <c r="N75" i="10"/>
  <c r="J311" i="10" s="1"/>
  <c r="O75" i="10"/>
  <c r="J567" i="10" s="1"/>
  <c r="D76" i="10"/>
  <c r="E76" i="10"/>
  <c r="F76" i="10"/>
  <c r="I76" i="10"/>
  <c r="N76" i="10"/>
  <c r="O76" i="10"/>
  <c r="D77" i="10"/>
  <c r="E77" i="10"/>
  <c r="F77" i="10"/>
  <c r="I77" i="10"/>
  <c r="N77" i="10"/>
  <c r="O77" i="10"/>
  <c r="J137" i="10" s="1"/>
  <c r="D78" i="10"/>
  <c r="E78" i="10"/>
  <c r="F78" i="10"/>
  <c r="I78" i="10"/>
  <c r="N78" i="10"/>
  <c r="O78" i="10"/>
  <c r="J280" i="10" s="1"/>
  <c r="D79" i="10"/>
  <c r="E79" i="10"/>
  <c r="F79" i="10"/>
  <c r="I79" i="10"/>
  <c r="N79" i="10"/>
  <c r="J477" i="10" s="1"/>
  <c r="O79" i="10"/>
  <c r="D80" i="10"/>
  <c r="E80" i="10"/>
  <c r="F80" i="10"/>
  <c r="I80" i="10"/>
  <c r="J80" i="10"/>
  <c r="N80" i="10"/>
  <c r="J231" i="10" s="1"/>
  <c r="O80" i="10"/>
  <c r="J78" i="10" s="1"/>
  <c r="D81" i="10"/>
  <c r="E81" i="10"/>
  <c r="F81" i="10"/>
  <c r="I81" i="10"/>
  <c r="J81" i="10"/>
  <c r="N81" i="10"/>
  <c r="J116" i="10" s="1"/>
  <c r="O81" i="10"/>
  <c r="D82" i="10"/>
  <c r="E82" i="10"/>
  <c r="F82" i="10"/>
  <c r="I82" i="10"/>
  <c r="N82" i="10"/>
  <c r="J257" i="10" s="1"/>
  <c r="O82" i="10"/>
  <c r="J48" i="10" s="1"/>
  <c r="D83" i="10"/>
  <c r="E83" i="10"/>
  <c r="F83" i="10"/>
  <c r="I83" i="10"/>
  <c r="N83" i="10"/>
  <c r="O83" i="10"/>
  <c r="D84" i="10"/>
  <c r="E84" i="10"/>
  <c r="F84" i="10"/>
  <c r="I84" i="10"/>
  <c r="J84" i="10"/>
  <c r="N84" i="10"/>
  <c r="O84" i="10"/>
  <c r="D85" i="10"/>
  <c r="E85" i="10"/>
  <c r="F85" i="10"/>
  <c r="I85" i="10"/>
  <c r="N85" i="10"/>
  <c r="O85" i="10"/>
  <c r="J144" i="10" s="1"/>
  <c r="D86" i="10"/>
  <c r="E86" i="10"/>
  <c r="F86" i="10"/>
  <c r="I86" i="10"/>
  <c r="N86" i="10"/>
  <c r="O86" i="10"/>
  <c r="J570" i="10" s="1"/>
  <c r="D87" i="10"/>
  <c r="E87" i="10"/>
  <c r="F87" i="10"/>
  <c r="I87" i="10"/>
  <c r="N87" i="10"/>
  <c r="O87" i="10"/>
  <c r="D88" i="10"/>
  <c r="E88" i="10"/>
  <c r="F88" i="10"/>
  <c r="I88" i="10"/>
  <c r="N88" i="10"/>
  <c r="O88" i="10"/>
  <c r="D89" i="10"/>
  <c r="E89" i="10"/>
  <c r="F89" i="10"/>
  <c r="I89" i="10"/>
  <c r="J89" i="10"/>
  <c r="N89" i="10"/>
  <c r="O89" i="10"/>
  <c r="D90" i="10"/>
  <c r="E90" i="10"/>
  <c r="F90" i="10"/>
  <c r="I90" i="10"/>
  <c r="J90" i="10"/>
  <c r="N90" i="10"/>
  <c r="O90" i="10"/>
  <c r="D91" i="10"/>
  <c r="E91" i="10"/>
  <c r="F91" i="10"/>
  <c r="I91" i="10"/>
  <c r="J91" i="10"/>
  <c r="N91" i="10"/>
  <c r="O91" i="10"/>
  <c r="J769" i="10" s="1"/>
  <c r="D92" i="10"/>
  <c r="E92" i="10"/>
  <c r="F92" i="10"/>
  <c r="I92" i="10"/>
  <c r="J92" i="10"/>
  <c r="N92" i="10"/>
  <c r="O92" i="10"/>
  <c r="J448" i="10" s="1"/>
  <c r="D93" i="10"/>
  <c r="E93" i="10"/>
  <c r="F93" i="10"/>
  <c r="I93" i="10"/>
  <c r="N93" i="10"/>
  <c r="O93" i="10"/>
  <c r="D94" i="10"/>
  <c r="E94" i="10"/>
  <c r="F94" i="10"/>
  <c r="I94" i="10"/>
  <c r="N94" i="10"/>
  <c r="O94" i="10"/>
  <c r="D95" i="10"/>
  <c r="E95" i="10"/>
  <c r="F95" i="10"/>
  <c r="I95" i="10"/>
  <c r="N95" i="10"/>
  <c r="O95" i="10"/>
  <c r="D96" i="10"/>
  <c r="E96" i="10"/>
  <c r="F96" i="10"/>
  <c r="I96" i="10"/>
  <c r="J96" i="10"/>
  <c r="N96" i="10"/>
  <c r="J520" i="10" s="1"/>
  <c r="O96" i="10"/>
  <c r="D97" i="10"/>
  <c r="E97" i="10"/>
  <c r="F97" i="10"/>
  <c r="I97" i="10"/>
  <c r="J97" i="10"/>
  <c r="N97" i="10"/>
  <c r="O97" i="10"/>
  <c r="D98" i="10"/>
  <c r="E98" i="10"/>
  <c r="F98" i="10"/>
  <c r="I98" i="10"/>
  <c r="N98" i="10"/>
  <c r="J635" i="10" s="1"/>
  <c r="O98" i="10"/>
  <c r="D99" i="10"/>
  <c r="E99" i="10"/>
  <c r="F99" i="10"/>
  <c r="I99" i="10"/>
  <c r="N99" i="10"/>
  <c r="O99" i="10"/>
  <c r="J512" i="10" s="1"/>
  <c r="D100" i="10"/>
  <c r="E100" i="10"/>
  <c r="F100" i="10"/>
  <c r="I100" i="10"/>
  <c r="N100" i="10"/>
  <c r="O100" i="10"/>
  <c r="D101" i="10"/>
  <c r="E101" i="10"/>
  <c r="F101" i="10"/>
  <c r="I101" i="10"/>
  <c r="N101" i="10"/>
  <c r="O101" i="10"/>
  <c r="D102" i="10"/>
  <c r="E102" i="10"/>
  <c r="F102" i="10"/>
  <c r="I102" i="10"/>
  <c r="J102" i="10"/>
  <c r="N102" i="10"/>
  <c r="O102" i="10"/>
  <c r="J20" i="10" s="1"/>
  <c r="D103" i="10"/>
  <c r="E103" i="10"/>
  <c r="F103" i="10"/>
  <c r="I103" i="10"/>
  <c r="D104" i="10"/>
  <c r="E104" i="10"/>
  <c r="F104" i="10"/>
  <c r="I104" i="10"/>
  <c r="J104" i="10"/>
  <c r="D105" i="10"/>
  <c r="E105" i="10"/>
  <c r="F105" i="10"/>
  <c r="I105" i="10"/>
  <c r="D106" i="10"/>
  <c r="E106" i="10"/>
  <c r="F106" i="10"/>
  <c r="I106" i="10"/>
  <c r="D107" i="10"/>
  <c r="E107" i="10"/>
  <c r="F107" i="10"/>
  <c r="I107" i="10"/>
  <c r="D108" i="10"/>
  <c r="E108" i="10"/>
  <c r="F108" i="10"/>
  <c r="I108" i="10"/>
  <c r="D109" i="10"/>
  <c r="E109" i="10"/>
  <c r="F109" i="10"/>
  <c r="I109" i="10"/>
  <c r="J109" i="10"/>
  <c r="D110" i="10"/>
  <c r="E110" i="10"/>
  <c r="F110" i="10"/>
  <c r="I110" i="10"/>
  <c r="D111" i="10"/>
  <c r="E111" i="10"/>
  <c r="F111" i="10"/>
  <c r="I111" i="10"/>
  <c r="J111" i="10"/>
  <c r="D112" i="10"/>
  <c r="E112" i="10"/>
  <c r="F112" i="10"/>
  <c r="I112" i="10"/>
  <c r="D113" i="10"/>
  <c r="E113" i="10"/>
  <c r="F113" i="10"/>
  <c r="I113" i="10"/>
  <c r="J113" i="10"/>
  <c r="D114" i="10"/>
  <c r="E114" i="10"/>
  <c r="F114" i="10"/>
  <c r="I114" i="10"/>
  <c r="J114" i="10"/>
  <c r="D115" i="10"/>
  <c r="E115" i="10"/>
  <c r="F115" i="10"/>
  <c r="I115" i="10"/>
  <c r="D116" i="10"/>
  <c r="E116" i="10"/>
  <c r="F116" i="10"/>
  <c r="I116" i="10"/>
  <c r="D117" i="10"/>
  <c r="E117" i="10"/>
  <c r="F117" i="10"/>
  <c r="I117" i="10"/>
  <c r="J117" i="10"/>
  <c r="D118" i="10"/>
  <c r="E118" i="10"/>
  <c r="F118" i="10"/>
  <c r="I118" i="10"/>
  <c r="J118" i="10"/>
  <c r="D119" i="10"/>
  <c r="E119" i="10"/>
  <c r="F119" i="10"/>
  <c r="I119" i="10"/>
  <c r="J119" i="10"/>
  <c r="D120" i="10"/>
  <c r="E120" i="10"/>
  <c r="F120" i="10"/>
  <c r="I120" i="10"/>
  <c r="J120" i="10"/>
  <c r="D121" i="10"/>
  <c r="E121" i="10"/>
  <c r="F121" i="10"/>
  <c r="I121" i="10"/>
  <c r="D122" i="10"/>
  <c r="E122" i="10"/>
  <c r="F122" i="10"/>
  <c r="I122" i="10"/>
  <c r="J122" i="10"/>
  <c r="D123" i="10"/>
  <c r="E123" i="10"/>
  <c r="F123" i="10"/>
  <c r="I123" i="10"/>
  <c r="D124" i="10"/>
  <c r="E124" i="10"/>
  <c r="F124" i="10"/>
  <c r="I124" i="10"/>
  <c r="D125" i="10"/>
  <c r="E125" i="10"/>
  <c r="F125" i="10"/>
  <c r="I125" i="10"/>
  <c r="J125" i="10"/>
  <c r="D126" i="10"/>
  <c r="E126" i="10"/>
  <c r="F126" i="10"/>
  <c r="I126" i="10"/>
  <c r="J126" i="10"/>
  <c r="D127" i="10"/>
  <c r="E127" i="10"/>
  <c r="F127" i="10"/>
  <c r="I127" i="10"/>
  <c r="D128" i="10"/>
  <c r="E128" i="10"/>
  <c r="F128" i="10"/>
  <c r="I128" i="10"/>
  <c r="J128" i="10"/>
  <c r="D129" i="10"/>
  <c r="E129" i="10"/>
  <c r="F129" i="10"/>
  <c r="I129" i="10"/>
  <c r="D130" i="10"/>
  <c r="E130" i="10"/>
  <c r="F130" i="10"/>
  <c r="I130" i="10"/>
  <c r="J130" i="10"/>
  <c r="D131" i="10"/>
  <c r="E131" i="10"/>
  <c r="F131" i="10"/>
  <c r="I131" i="10"/>
  <c r="D132" i="10"/>
  <c r="E132" i="10"/>
  <c r="F132" i="10"/>
  <c r="I132" i="10"/>
  <c r="J132" i="10"/>
  <c r="D133" i="10"/>
  <c r="E133" i="10"/>
  <c r="F133" i="10"/>
  <c r="I133" i="10"/>
  <c r="J133" i="10"/>
  <c r="D134" i="10"/>
  <c r="E134" i="10"/>
  <c r="F134" i="10"/>
  <c r="I134" i="10"/>
  <c r="J134" i="10"/>
  <c r="D135" i="10"/>
  <c r="E135" i="10"/>
  <c r="F135" i="10"/>
  <c r="I135" i="10"/>
  <c r="D136" i="10"/>
  <c r="E136" i="10"/>
  <c r="F136" i="10"/>
  <c r="I136" i="10"/>
  <c r="J136" i="10"/>
  <c r="D137" i="10"/>
  <c r="E137" i="10"/>
  <c r="F137" i="10"/>
  <c r="I137" i="10"/>
  <c r="D138" i="10"/>
  <c r="E138" i="10"/>
  <c r="F138" i="10"/>
  <c r="I138" i="10"/>
  <c r="D139" i="10"/>
  <c r="E139" i="10"/>
  <c r="F139" i="10"/>
  <c r="I139" i="10"/>
  <c r="J139" i="10"/>
  <c r="D140" i="10"/>
  <c r="E140" i="10"/>
  <c r="F140" i="10"/>
  <c r="I140" i="10"/>
  <c r="J140" i="10"/>
  <c r="D141" i="10"/>
  <c r="E141" i="10"/>
  <c r="F141" i="10"/>
  <c r="I141" i="10"/>
  <c r="J141" i="10"/>
  <c r="D142" i="10"/>
  <c r="E142" i="10"/>
  <c r="F142" i="10"/>
  <c r="I142" i="10"/>
  <c r="J142" i="10"/>
  <c r="D143" i="10"/>
  <c r="E143" i="10"/>
  <c r="F143" i="10"/>
  <c r="I143" i="10"/>
  <c r="D144" i="10"/>
  <c r="E144" i="10"/>
  <c r="F144" i="10"/>
  <c r="I144" i="10"/>
  <c r="D145" i="10"/>
  <c r="E145" i="10"/>
  <c r="F145" i="10"/>
  <c r="I145" i="10"/>
  <c r="D146" i="10"/>
  <c r="E146" i="10"/>
  <c r="F146" i="10"/>
  <c r="I146" i="10"/>
  <c r="J146" i="10"/>
  <c r="D147" i="10"/>
  <c r="E147" i="10"/>
  <c r="F147" i="10"/>
  <c r="I147" i="10"/>
  <c r="D148" i="10"/>
  <c r="E148" i="10"/>
  <c r="F148" i="10"/>
  <c r="I148" i="10"/>
  <c r="J148" i="10"/>
  <c r="D149" i="10"/>
  <c r="E149" i="10"/>
  <c r="F149" i="10"/>
  <c r="I149" i="10"/>
  <c r="J149" i="10"/>
  <c r="D150" i="10"/>
  <c r="E150" i="10"/>
  <c r="F150" i="10"/>
  <c r="I150" i="10"/>
  <c r="D151" i="10"/>
  <c r="E151" i="10"/>
  <c r="F151" i="10"/>
  <c r="I151" i="10"/>
  <c r="D152" i="10"/>
  <c r="E152" i="10"/>
  <c r="F152" i="10"/>
  <c r="I152" i="10"/>
  <c r="J152" i="10"/>
  <c r="D153" i="10"/>
  <c r="E153" i="10"/>
  <c r="F153" i="10"/>
  <c r="I153" i="10"/>
  <c r="D154" i="10"/>
  <c r="E154" i="10"/>
  <c r="F154" i="10"/>
  <c r="I154" i="10"/>
  <c r="J154" i="10"/>
  <c r="D155" i="10"/>
  <c r="E155" i="10"/>
  <c r="F155" i="10"/>
  <c r="I155" i="10"/>
  <c r="J155" i="10"/>
  <c r="D156" i="10"/>
  <c r="E156" i="10"/>
  <c r="F156" i="10"/>
  <c r="I156" i="10"/>
  <c r="D157" i="10"/>
  <c r="E157" i="10"/>
  <c r="F157" i="10"/>
  <c r="I157" i="10"/>
  <c r="J157" i="10"/>
  <c r="D158" i="10"/>
  <c r="E158" i="10"/>
  <c r="F158" i="10"/>
  <c r="I158" i="10"/>
  <c r="D159" i="10"/>
  <c r="E159" i="10"/>
  <c r="F159" i="10"/>
  <c r="I159" i="10"/>
  <c r="J159" i="10"/>
  <c r="D160" i="10"/>
  <c r="E160" i="10"/>
  <c r="F160" i="10"/>
  <c r="I160" i="10"/>
  <c r="J160" i="10"/>
  <c r="D161" i="10"/>
  <c r="E161" i="10"/>
  <c r="F161" i="10"/>
  <c r="I161" i="10"/>
  <c r="D162" i="10"/>
  <c r="E162" i="10"/>
  <c r="F162" i="10"/>
  <c r="I162" i="10"/>
  <c r="J162" i="10"/>
  <c r="D163" i="10"/>
  <c r="E163" i="10"/>
  <c r="F163" i="10"/>
  <c r="I163" i="10"/>
  <c r="D164" i="10"/>
  <c r="E164" i="10"/>
  <c r="F164" i="10"/>
  <c r="I164" i="10"/>
  <c r="J164" i="10"/>
  <c r="D165" i="10"/>
  <c r="E165" i="10"/>
  <c r="F165" i="10"/>
  <c r="I165" i="10"/>
  <c r="D166" i="10"/>
  <c r="E166" i="10"/>
  <c r="F166" i="10"/>
  <c r="I166" i="10"/>
  <c r="D167" i="10"/>
  <c r="E167" i="10"/>
  <c r="F167" i="10"/>
  <c r="I167" i="10"/>
  <c r="J167" i="10"/>
  <c r="D168" i="10"/>
  <c r="E168" i="10"/>
  <c r="F168" i="10"/>
  <c r="I168" i="10"/>
  <c r="D169" i="10"/>
  <c r="E169" i="10"/>
  <c r="F169" i="10"/>
  <c r="I169" i="10"/>
  <c r="J169" i="10"/>
  <c r="D170" i="10"/>
  <c r="E170" i="10"/>
  <c r="F170" i="10"/>
  <c r="I170" i="10"/>
  <c r="J170" i="10"/>
  <c r="D171" i="10"/>
  <c r="E171" i="10"/>
  <c r="F171" i="10"/>
  <c r="I171" i="10"/>
  <c r="J171" i="10"/>
  <c r="D172" i="10"/>
  <c r="E172" i="10"/>
  <c r="F172" i="10"/>
  <c r="I172" i="10"/>
  <c r="J172" i="10"/>
  <c r="D173" i="10"/>
  <c r="E173" i="10"/>
  <c r="F173" i="10"/>
  <c r="I173" i="10"/>
  <c r="J173" i="10"/>
  <c r="D174" i="10"/>
  <c r="E174" i="10"/>
  <c r="F174" i="10"/>
  <c r="I174" i="10"/>
  <c r="J174" i="10"/>
  <c r="D175" i="10"/>
  <c r="E175" i="10"/>
  <c r="F175" i="10"/>
  <c r="I175" i="10"/>
  <c r="D176" i="10"/>
  <c r="E176" i="10"/>
  <c r="F176" i="10"/>
  <c r="I176" i="10"/>
  <c r="D177" i="10"/>
  <c r="E177" i="10"/>
  <c r="F177" i="10"/>
  <c r="I177" i="10"/>
  <c r="D178" i="10"/>
  <c r="E178" i="10"/>
  <c r="F178" i="10"/>
  <c r="I178" i="10"/>
  <c r="J178" i="10"/>
  <c r="D179" i="10"/>
  <c r="E179" i="10"/>
  <c r="F179" i="10"/>
  <c r="I179" i="10"/>
  <c r="J179" i="10"/>
  <c r="D180" i="10"/>
  <c r="E180" i="10"/>
  <c r="F180" i="10"/>
  <c r="I180" i="10"/>
  <c r="D181" i="10"/>
  <c r="E181" i="10"/>
  <c r="F181" i="10"/>
  <c r="I181" i="10"/>
  <c r="D182" i="10"/>
  <c r="E182" i="10"/>
  <c r="F182" i="10"/>
  <c r="I182" i="10"/>
  <c r="D183" i="10"/>
  <c r="E183" i="10"/>
  <c r="F183" i="10"/>
  <c r="I183" i="10"/>
  <c r="J183" i="10"/>
  <c r="D184" i="10"/>
  <c r="E184" i="10"/>
  <c r="F184" i="10"/>
  <c r="I184" i="10"/>
  <c r="J184" i="10"/>
  <c r="D185" i="10"/>
  <c r="E185" i="10"/>
  <c r="F185" i="10"/>
  <c r="I185" i="10"/>
  <c r="D186" i="10"/>
  <c r="E186" i="10"/>
  <c r="F186" i="10"/>
  <c r="I186" i="10"/>
  <c r="D187" i="10"/>
  <c r="E187" i="10"/>
  <c r="F187" i="10"/>
  <c r="I187" i="10"/>
  <c r="J187" i="10"/>
  <c r="D188" i="10"/>
  <c r="E188" i="10"/>
  <c r="F188" i="10"/>
  <c r="I188" i="10"/>
  <c r="D189" i="10"/>
  <c r="E189" i="10"/>
  <c r="F189" i="10"/>
  <c r="I189" i="10"/>
  <c r="J189" i="10"/>
  <c r="D190" i="10"/>
  <c r="E190" i="10"/>
  <c r="F190" i="10"/>
  <c r="I190" i="10"/>
  <c r="J190" i="10"/>
  <c r="D191" i="10"/>
  <c r="E191" i="10"/>
  <c r="F191" i="10"/>
  <c r="I191" i="10"/>
  <c r="D192" i="10"/>
  <c r="E192" i="10"/>
  <c r="F192" i="10"/>
  <c r="I192" i="10"/>
  <c r="D193" i="10"/>
  <c r="E193" i="10"/>
  <c r="F193" i="10"/>
  <c r="I193" i="10"/>
  <c r="D194" i="10"/>
  <c r="E194" i="10"/>
  <c r="F194" i="10"/>
  <c r="I194" i="10"/>
  <c r="J194" i="10"/>
  <c r="D195" i="10"/>
  <c r="E195" i="10"/>
  <c r="F195" i="10"/>
  <c r="I195" i="10"/>
  <c r="J195" i="10"/>
  <c r="D196" i="10"/>
  <c r="E196" i="10"/>
  <c r="F196" i="10"/>
  <c r="I196" i="10"/>
  <c r="D197" i="10"/>
  <c r="E197" i="10"/>
  <c r="F197" i="10"/>
  <c r="I197" i="10"/>
  <c r="J197" i="10"/>
  <c r="D198" i="10"/>
  <c r="E198" i="10"/>
  <c r="F198" i="10"/>
  <c r="I198" i="10"/>
  <c r="D199" i="10"/>
  <c r="E199" i="10"/>
  <c r="F199" i="10"/>
  <c r="I199" i="10"/>
  <c r="D200" i="10"/>
  <c r="E200" i="10"/>
  <c r="F200" i="10"/>
  <c r="I200" i="10"/>
  <c r="D201" i="10"/>
  <c r="E201" i="10"/>
  <c r="F201" i="10"/>
  <c r="I201" i="10"/>
  <c r="J201" i="10"/>
  <c r="D202" i="10"/>
  <c r="E202" i="10"/>
  <c r="F202" i="10"/>
  <c r="I202" i="10"/>
  <c r="J202" i="10"/>
  <c r="D203" i="10"/>
  <c r="E203" i="10"/>
  <c r="F203" i="10"/>
  <c r="I203" i="10"/>
  <c r="D204" i="10"/>
  <c r="E204" i="10"/>
  <c r="F204" i="10"/>
  <c r="I204" i="10"/>
  <c r="J204" i="10"/>
  <c r="D205" i="10"/>
  <c r="E205" i="10"/>
  <c r="F205" i="10"/>
  <c r="I205" i="10"/>
  <c r="D206" i="10"/>
  <c r="E206" i="10"/>
  <c r="F206" i="10"/>
  <c r="I206" i="10"/>
  <c r="J206" i="10"/>
  <c r="D207" i="10"/>
  <c r="E207" i="10"/>
  <c r="F207" i="10"/>
  <c r="I207" i="10"/>
  <c r="J207" i="10"/>
  <c r="D208" i="10"/>
  <c r="E208" i="10"/>
  <c r="F208" i="10"/>
  <c r="I208" i="10"/>
  <c r="D209" i="10"/>
  <c r="E209" i="10"/>
  <c r="F209" i="10"/>
  <c r="I209" i="10"/>
  <c r="D210" i="10"/>
  <c r="E210" i="10"/>
  <c r="F210" i="10"/>
  <c r="I210" i="10"/>
  <c r="J210" i="10"/>
  <c r="D211" i="10"/>
  <c r="E211" i="10"/>
  <c r="F211" i="10"/>
  <c r="I211" i="10"/>
  <c r="J211" i="10"/>
  <c r="D212" i="10"/>
  <c r="E212" i="10"/>
  <c r="F212" i="10"/>
  <c r="I212" i="10"/>
  <c r="J212" i="10"/>
  <c r="D213" i="10"/>
  <c r="E213" i="10"/>
  <c r="F213" i="10"/>
  <c r="I213" i="10"/>
  <c r="D214" i="10"/>
  <c r="E214" i="10"/>
  <c r="F214" i="10"/>
  <c r="I214" i="10"/>
  <c r="J214" i="10"/>
  <c r="D215" i="10"/>
  <c r="E215" i="10"/>
  <c r="F215" i="10"/>
  <c r="I215" i="10"/>
  <c r="J215" i="10"/>
  <c r="D216" i="10"/>
  <c r="E216" i="10"/>
  <c r="F216" i="10"/>
  <c r="I216" i="10"/>
  <c r="D217" i="10"/>
  <c r="E217" i="10"/>
  <c r="F217" i="10"/>
  <c r="I217" i="10"/>
  <c r="J217" i="10"/>
  <c r="D218" i="10"/>
  <c r="E218" i="10"/>
  <c r="F218" i="10"/>
  <c r="I218" i="10"/>
  <c r="D219" i="10"/>
  <c r="E219" i="10"/>
  <c r="F219" i="10"/>
  <c r="I219" i="10"/>
  <c r="J219" i="10"/>
  <c r="D220" i="10"/>
  <c r="E220" i="10"/>
  <c r="F220" i="10"/>
  <c r="I220" i="10"/>
  <c r="D221" i="10"/>
  <c r="E221" i="10"/>
  <c r="F221" i="10"/>
  <c r="I221" i="10"/>
  <c r="J221" i="10"/>
  <c r="D222" i="10"/>
  <c r="E222" i="10"/>
  <c r="F222" i="10"/>
  <c r="I222" i="10"/>
  <c r="J222" i="10"/>
  <c r="D223" i="10"/>
  <c r="E223" i="10"/>
  <c r="F223" i="10"/>
  <c r="I223" i="10"/>
  <c r="D224" i="10"/>
  <c r="E224" i="10"/>
  <c r="F224" i="10"/>
  <c r="I224" i="10"/>
  <c r="D225" i="10"/>
  <c r="E225" i="10"/>
  <c r="F225" i="10"/>
  <c r="I225" i="10"/>
  <c r="J225" i="10"/>
  <c r="D226" i="10"/>
  <c r="E226" i="10"/>
  <c r="F226" i="10"/>
  <c r="I226" i="10"/>
  <c r="D227" i="10"/>
  <c r="E227" i="10"/>
  <c r="F227" i="10"/>
  <c r="I227" i="10"/>
  <c r="J227" i="10"/>
  <c r="D228" i="10"/>
  <c r="E228" i="10"/>
  <c r="F228" i="10"/>
  <c r="I228" i="10"/>
  <c r="J228" i="10"/>
  <c r="D229" i="10"/>
  <c r="E229" i="10"/>
  <c r="F229" i="10"/>
  <c r="I229" i="10"/>
  <c r="J229" i="10"/>
  <c r="D230" i="10"/>
  <c r="E230" i="10"/>
  <c r="F230" i="10"/>
  <c r="I230" i="10"/>
  <c r="J230" i="10"/>
  <c r="D231" i="10"/>
  <c r="E231" i="10"/>
  <c r="F231" i="10"/>
  <c r="I231" i="10"/>
  <c r="D232" i="10"/>
  <c r="E232" i="10"/>
  <c r="F232" i="10"/>
  <c r="I232" i="10"/>
  <c r="J232" i="10"/>
  <c r="D233" i="10"/>
  <c r="E233" i="10"/>
  <c r="F233" i="10"/>
  <c r="I233" i="10"/>
  <c r="J233" i="10"/>
  <c r="D234" i="10"/>
  <c r="E234" i="10"/>
  <c r="F234" i="10"/>
  <c r="I234" i="10"/>
  <c r="D235" i="10"/>
  <c r="E235" i="10"/>
  <c r="F235" i="10"/>
  <c r="I235" i="10"/>
  <c r="J235" i="10"/>
  <c r="D236" i="10"/>
  <c r="E236" i="10"/>
  <c r="F236" i="10"/>
  <c r="I236" i="10"/>
  <c r="J236" i="10"/>
  <c r="D237" i="10"/>
  <c r="E237" i="10"/>
  <c r="F237" i="10"/>
  <c r="I237" i="10"/>
  <c r="J237" i="10"/>
  <c r="D238" i="10"/>
  <c r="E238" i="10"/>
  <c r="F238" i="10"/>
  <c r="I238" i="10"/>
  <c r="J238" i="10"/>
  <c r="D239" i="10"/>
  <c r="E239" i="10"/>
  <c r="F239" i="10"/>
  <c r="I239" i="10"/>
  <c r="D240" i="10"/>
  <c r="E240" i="10"/>
  <c r="F240" i="10"/>
  <c r="I240" i="10"/>
  <c r="J240" i="10"/>
  <c r="D241" i="10"/>
  <c r="E241" i="10"/>
  <c r="F241" i="10"/>
  <c r="I241" i="10"/>
  <c r="J241" i="10"/>
  <c r="D242" i="10"/>
  <c r="E242" i="10"/>
  <c r="F242" i="10"/>
  <c r="I242" i="10"/>
  <c r="D243" i="10"/>
  <c r="E243" i="10"/>
  <c r="F243" i="10"/>
  <c r="I243" i="10"/>
  <c r="J243" i="10"/>
  <c r="D244" i="10"/>
  <c r="E244" i="10"/>
  <c r="F244" i="10"/>
  <c r="I244" i="10"/>
  <c r="J244" i="10"/>
  <c r="D245" i="10"/>
  <c r="E245" i="10"/>
  <c r="F245" i="10"/>
  <c r="I245" i="10"/>
  <c r="J245" i="10"/>
  <c r="D246" i="10"/>
  <c r="E246" i="10"/>
  <c r="F246" i="10"/>
  <c r="I246" i="10"/>
  <c r="J246" i="10"/>
  <c r="D247" i="10"/>
  <c r="E247" i="10"/>
  <c r="F247" i="10"/>
  <c r="I247" i="10"/>
  <c r="D248" i="10"/>
  <c r="E248" i="10"/>
  <c r="F248" i="10"/>
  <c r="I248" i="10"/>
  <c r="D249" i="10"/>
  <c r="E249" i="10"/>
  <c r="F249" i="10"/>
  <c r="I249" i="10"/>
  <c r="J249" i="10"/>
  <c r="D250" i="10"/>
  <c r="E250" i="10"/>
  <c r="F250" i="10"/>
  <c r="I250" i="10"/>
  <c r="D251" i="10"/>
  <c r="E251" i="10"/>
  <c r="F251" i="10"/>
  <c r="I251" i="10"/>
  <c r="D252" i="10"/>
  <c r="E252" i="10"/>
  <c r="F252" i="10"/>
  <c r="I252" i="10"/>
  <c r="J252" i="10"/>
  <c r="D253" i="10"/>
  <c r="E253" i="10"/>
  <c r="F253" i="10"/>
  <c r="I253" i="10"/>
  <c r="J253" i="10"/>
  <c r="D254" i="10"/>
  <c r="E254" i="10"/>
  <c r="F254" i="10"/>
  <c r="I254" i="10"/>
  <c r="D255" i="10"/>
  <c r="E255" i="10"/>
  <c r="F255" i="10"/>
  <c r="I255" i="10"/>
  <c r="D256" i="10"/>
  <c r="E256" i="10"/>
  <c r="F256" i="10"/>
  <c r="I256" i="10"/>
  <c r="J256" i="10"/>
  <c r="D257" i="10"/>
  <c r="E257" i="10"/>
  <c r="F257" i="10"/>
  <c r="I257" i="10"/>
  <c r="D258" i="10"/>
  <c r="E258" i="10"/>
  <c r="F258" i="10"/>
  <c r="I258" i="10"/>
  <c r="D259" i="10"/>
  <c r="E259" i="10"/>
  <c r="F259" i="10"/>
  <c r="I259" i="10"/>
  <c r="J259" i="10"/>
  <c r="D260" i="10"/>
  <c r="E260" i="10"/>
  <c r="F260" i="10"/>
  <c r="I260" i="10"/>
  <c r="J260" i="10"/>
  <c r="D261" i="10"/>
  <c r="E261" i="10"/>
  <c r="F261" i="10"/>
  <c r="I261" i="10"/>
  <c r="D262" i="10"/>
  <c r="E262" i="10"/>
  <c r="F262" i="10"/>
  <c r="I262" i="10"/>
  <c r="J262" i="10"/>
  <c r="D263" i="10"/>
  <c r="E263" i="10"/>
  <c r="F263" i="10"/>
  <c r="I263" i="10"/>
  <c r="D264" i="10"/>
  <c r="E264" i="10"/>
  <c r="F264" i="10"/>
  <c r="I264" i="10"/>
  <c r="D265" i="10"/>
  <c r="E265" i="10"/>
  <c r="F265" i="10"/>
  <c r="I265" i="10"/>
  <c r="D266" i="10"/>
  <c r="E266" i="10"/>
  <c r="F266" i="10"/>
  <c r="I266" i="10"/>
  <c r="J266" i="10"/>
  <c r="D267" i="10"/>
  <c r="E267" i="10"/>
  <c r="F267" i="10"/>
  <c r="I267" i="10"/>
  <c r="J267" i="10"/>
  <c r="D268" i="10"/>
  <c r="E268" i="10"/>
  <c r="F268" i="10"/>
  <c r="I268" i="10"/>
  <c r="D269" i="10"/>
  <c r="E269" i="10"/>
  <c r="F269" i="10"/>
  <c r="I269" i="10"/>
  <c r="J269" i="10"/>
  <c r="D270" i="10"/>
  <c r="E270" i="10"/>
  <c r="F270" i="10"/>
  <c r="I270" i="10"/>
  <c r="D271" i="10"/>
  <c r="E271" i="10"/>
  <c r="F271" i="10"/>
  <c r="I271" i="10"/>
  <c r="J271" i="10"/>
  <c r="D272" i="10"/>
  <c r="E272" i="10"/>
  <c r="F272" i="10"/>
  <c r="I272" i="10"/>
  <c r="D273" i="10"/>
  <c r="E273" i="10"/>
  <c r="F273" i="10"/>
  <c r="I273" i="10"/>
  <c r="D274" i="10"/>
  <c r="E274" i="10"/>
  <c r="F274" i="10"/>
  <c r="I274" i="10"/>
  <c r="J274" i="10"/>
  <c r="D275" i="10"/>
  <c r="E275" i="10"/>
  <c r="F275" i="10"/>
  <c r="I275" i="10"/>
  <c r="J275" i="10"/>
  <c r="D276" i="10"/>
  <c r="E276" i="10"/>
  <c r="F276" i="10"/>
  <c r="I276" i="10"/>
  <c r="D277" i="10"/>
  <c r="E277" i="10"/>
  <c r="F277" i="10"/>
  <c r="I277" i="10"/>
  <c r="J277" i="10"/>
  <c r="D278" i="10"/>
  <c r="E278" i="10"/>
  <c r="F278" i="10"/>
  <c r="I278" i="10"/>
  <c r="D279" i="10"/>
  <c r="E279" i="10"/>
  <c r="F279" i="10"/>
  <c r="I279" i="10"/>
  <c r="J279" i="10"/>
  <c r="D280" i="10"/>
  <c r="E280" i="10"/>
  <c r="F280" i="10"/>
  <c r="I280" i="10"/>
  <c r="D281" i="10"/>
  <c r="E281" i="10"/>
  <c r="F281" i="10"/>
  <c r="I281" i="10"/>
  <c r="J281" i="10"/>
  <c r="D282" i="10"/>
  <c r="E282" i="10"/>
  <c r="F282" i="10"/>
  <c r="I282" i="10"/>
  <c r="D283" i="10"/>
  <c r="E283" i="10"/>
  <c r="F283" i="10"/>
  <c r="I283" i="10"/>
  <c r="J283" i="10"/>
  <c r="D284" i="10"/>
  <c r="E284" i="10"/>
  <c r="F284" i="10"/>
  <c r="I284" i="10"/>
  <c r="J284" i="10"/>
  <c r="D285" i="10"/>
  <c r="E285" i="10"/>
  <c r="F285" i="10"/>
  <c r="I285" i="10"/>
  <c r="J285" i="10"/>
  <c r="D286" i="10"/>
  <c r="E286" i="10"/>
  <c r="F286" i="10"/>
  <c r="I286" i="10"/>
  <c r="J286" i="10"/>
  <c r="D287" i="10"/>
  <c r="E287" i="10"/>
  <c r="F287" i="10"/>
  <c r="I287" i="10"/>
  <c r="D288" i="10"/>
  <c r="E288" i="10"/>
  <c r="F288" i="10"/>
  <c r="I288" i="10"/>
  <c r="D289" i="10"/>
  <c r="E289" i="10"/>
  <c r="F289" i="10"/>
  <c r="I289" i="10"/>
  <c r="J289" i="10"/>
  <c r="D290" i="10"/>
  <c r="E290" i="10"/>
  <c r="F290" i="10"/>
  <c r="I290" i="10"/>
  <c r="D291" i="10"/>
  <c r="E291" i="10"/>
  <c r="F291" i="10"/>
  <c r="I291" i="10"/>
  <c r="J291" i="10"/>
  <c r="D292" i="10"/>
  <c r="E292" i="10"/>
  <c r="F292" i="10"/>
  <c r="I292" i="10"/>
  <c r="J292" i="10"/>
  <c r="D293" i="10"/>
  <c r="E293" i="10"/>
  <c r="F293" i="10"/>
  <c r="I293" i="10"/>
  <c r="J293" i="10"/>
  <c r="D294" i="10"/>
  <c r="E294" i="10"/>
  <c r="F294" i="10"/>
  <c r="I294" i="10"/>
  <c r="J294" i="10"/>
  <c r="D295" i="10"/>
  <c r="E295" i="10"/>
  <c r="F295" i="10"/>
  <c r="I295" i="10"/>
  <c r="D296" i="10"/>
  <c r="E296" i="10"/>
  <c r="F296" i="10"/>
  <c r="I296" i="10"/>
  <c r="J296" i="10"/>
  <c r="D297" i="10"/>
  <c r="E297" i="10"/>
  <c r="F297" i="10"/>
  <c r="I297" i="10"/>
  <c r="J297" i="10"/>
  <c r="D298" i="10"/>
  <c r="E298" i="10"/>
  <c r="F298" i="10"/>
  <c r="I298" i="10"/>
  <c r="J298" i="10"/>
  <c r="D299" i="10"/>
  <c r="E299" i="10"/>
  <c r="F299" i="10"/>
  <c r="I299" i="10"/>
  <c r="J299" i="10"/>
  <c r="D300" i="10"/>
  <c r="E300" i="10"/>
  <c r="F300" i="10"/>
  <c r="I300" i="10"/>
  <c r="J300" i="10"/>
  <c r="D301" i="10"/>
  <c r="E301" i="10"/>
  <c r="F301" i="10"/>
  <c r="I301" i="10"/>
  <c r="D302" i="10"/>
  <c r="E302" i="10"/>
  <c r="F302" i="10"/>
  <c r="I302" i="10"/>
  <c r="J302" i="10"/>
  <c r="D303" i="10"/>
  <c r="E303" i="10"/>
  <c r="F303" i="10"/>
  <c r="I303" i="10"/>
  <c r="D304" i="10"/>
  <c r="E304" i="10"/>
  <c r="F304" i="10"/>
  <c r="I304" i="10"/>
  <c r="J304" i="10"/>
  <c r="D305" i="10"/>
  <c r="E305" i="10"/>
  <c r="F305" i="10"/>
  <c r="I305" i="10"/>
  <c r="J305" i="10"/>
  <c r="D306" i="10"/>
  <c r="E306" i="10"/>
  <c r="F306" i="10"/>
  <c r="I306" i="10"/>
  <c r="D307" i="10"/>
  <c r="E307" i="10"/>
  <c r="F307" i="10"/>
  <c r="I307" i="10"/>
  <c r="D308" i="10"/>
  <c r="E308" i="10"/>
  <c r="F308" i="10"/>
  <c r="I308" i="10"/>
  <c r="J308" i="10"/>
  <c r="D309" i="10"/>
  <c r="E309" i="10"/>
  <c r="F309" i="10"/>
  <c r="I309" i="10"/>
  <c r="J309" i="10"/>
  <c r="D310" i="10"/>
  <c r="E310" i="10"/>
  <c r="F310" i="10"/>
  <c r="I310" i="10"/>
  <c r="J310" i="10"/>
  <c r="D311" i="10"/>
  <c r="E311" i="10"/>
  <c r="F311" i="10"/>
  <c r="I311" i="10"/>
  <c r="D312" i="10"/>
  <c r="E312" i="10"/>
  <c r="F312" i="10"/>
  <c r="I312" i="10"/>
  <c r="J312" i="10"/>
  <c r="D313" i="10"/>
  <c r="E313" i="10"/>
  <c r="F313" i="10"/>
  <c r="I313" i="10"/>
  <c r="D314" i="10"/>
  <c r="E314" i="10"/>
  <c r="F314" i="10"/>
  <c r="I314" i="10"/>
  <c r="D315" i="10"/>
  <c r="E315" i="10"/>
  <c r="F315" i="10"/>
  <c r="I315" i="10"/>
  <c r="J315" i="10"/>
  <c r="D316" i="10"/>
  <c r="E316" i="10"/>
  <c r="F316" i="10"/>
  <c r="I316" i="10"/>
  <c r="D317" i="10"/>
  <c r="E317" i="10"/>
  <c r="F317" i="10"/>
  <c r="I317" i="10"/>
  <c r="J317" i="10"/>
  <c r="D318" i="10"/>
  <c r="E318" i="10"/>
  <c r="F318" i="10"/>
  <c r="I318" i="10"/>
  <c r="D319" i="10"/>
  <c r="E319" i="10"/>
  <c r="F319" i="10"/>
  <c r="I319" i="10"/>
  <c r="J319" i="10"/>
  <c r="D320" i="10"/>
  <c r="E320" i="10"/>
  <c r="F320" i="10"/>
  <c r="I320" i="10"/>
  <c r="J320" i="10"/>
  <c r="D321" i="10"/>
  <c r="E321" i="10"/>
  <c r="F321" i="10"/>
  <c r="I321" i="10"/>
  <c r="J321" i="10"/>
  <c r="D322" i="10"/>
  <c r="E322" i="10"/>
  <c r="F322" i="10"/>
  <c r="I322" i="10"/>
  <c r="J322" i="10"/>
  <c r="D323" i="10"/>
  <c r="E323" i="10"/>
  <c r="F323" i="10"/>
  <c r="I323" i="10"/>
  <c r="J323" i="10"/>
  <c r="D324" i="10"/>
  <c r="E324" i="10"/>
  <c r="F324" i="10"/>
  <c r="I324" i="10"/>
  <c r="D325" i="10"/>
  <c r="E325" i="10"/>
  <c r="F325" i="10"/>
  <c r="I325" i="10"/>
  <c r="J325" i="10"/>
  <c r="D326" i="10"/>
  <c r="E326" i="10"/>
  <c r="F326" i="10"/>
  <c r="I326" i="10"/>
  <c r="D327" i="10"/>
  <c r="E327" i="10"/>
  <c r="F327" i="10"/>
  <c r="I327" i="10"/>
  <c r="J327" i="10"/>
  <c r="D328" i="10"/>
  <c r="E328" i="10"/>
  <c r="F328" i="10"/>
  <c r="I328" i="10"/>
  <c r="D329" i="10"/>
  <c r="E329" i="10"/>
  <c r="F329" i="10"/>
  <c r="I329" i="10"/>
  <c r="J329" i="10"/>
  <c r="D330" i="10"/>
  <c r="E330" i="10"/>
  <c r="F330" i="10"/>
  <c r="I330" i="10"/>
  <c r="D331" i="10"/>
  <c r="E331" i="10"/>
  <c r="F331" i="10"/>
  <c r="I331" i="10"/>
  <c r="D332" i="10"/>
  <c r="E332" i="10"/>
  <c r="F332" i="10"/>
  <c r="I332" i="10"/>
  <c r="J332" i="10"/>
  <c r="D333" i="10"/>
  <c r="E333" i="10"/>
  <c r="F333" i="10"/>
  <c r="I333" i="10"/>
  <c r="J333" i="10"/>
  <c r="D334" i="10"/>
  <c r="E334" i="10"/>
  <c r="F334" i="10"/>
  <c r="I334" i="10"/>
  <c r="D335" i="10"/>
  <c r="E335" i="10"/>
  <c r="F335" i="10"/>
  <c r="I335" i="10"/>
  <c r="J335" i="10"/>
  <c r="D336" i="10"/>
  <c r="E336" i="10"/>
  <c r="F336" i="10"/>
  <c r="I336" i="10"/>
  <c r="J336" i="10"/>
  <c r="D337" i="10"/>
  <c r="E337" i="10"/>
  <c r="F337" i="10"/>
  <c r="I337" i="10"/>
  <c r="J337" i="10"/>
  <c r="D338" i="10"/>
  <c r="E338" i="10"/>
  <c r="F338" i="10"/>
  <c r="I338" i="10"/>
  <c r="J338" i="10"/>
  <c r="D339" i="10"/>
  <c r="E339" i="10"/>
  <c r="F339" i="10"/>
  <c r="I339" i="10"/>
  <c r="J339" i="10"/>
  <c r="D340" i="10"/>
  <c r="E340" i="10"/>
  <c r="F340" i="10"/>
  <c r="I340" i="10"/>
  <c r="J340" i="10"/>
  <c r="D341" i="10"/>
  <c r="E341" i="10"/>
  <c r="F341" i="10"/>
  <c r="I341" i="10"/>
  <c r="J341" i="10"/>
  <c r="D342" i="10"/>
  <c r="E342" i="10"/>
  <c r="F342" i="10"/>
  <c r="I342" i="10"/>
  <c r="D343" i="10"/>
  <c r="E343" i="10"/>
  <c r="F343" i="10"/>
  <c r="I343" i="10"/>
  <c r="J343" i="10"/>
  <c r="D344" i="10"/>
  <c r="E344" i="10"/>
  <c r="F344" i="10"/>
  <c r="I344" i="10"/>
  <c r="J344" i="10"/>
  <c r="D345" i="10"/>
  <c r="E345" i="10"/>
  <c r="F345" i="10"/>
  <c r="I345" i="10"/>
  <c r="J345" i="10"/>
  <c r="D346" i="10"/>
  <c r="E346" i="10"/>
  <c r="F346" i="10"/>
  <c r="I346" i="10"/>
  <c r="D347" i="10"/>
  <c r="E347" i="10"/>
  <c r="F347" i="10"/>
  <c r="I347" i="10"/>
  <c r="J347" i="10"/>
  <c r="D348" i="10"/>
  <c r="E348" i="10"/>
  <c r="F348" i="10"/>
  <c r="I348" i="10"/>
  <c r="D349" i="10"/>
  <c r="E349" i="10"/>
  <c r="F349" i="10"/>
  <c r="I349" i="10"/>
  <c r="J349" i="10"/>
  <c r="D350" i="10"/>
  <c r="E350" i="10"/>
  <c r="F350" i="10"/>
  <c r="I350" i="10"/>
  <c r="J350" i="10"/>
  <c r="D351" i="10"/>
  <c r="E351" i="10"/>
  <c r="F351" i="10"/>
  <c r="I351" i="10"/>
  <c r="D352" i="10"/>
  <c r="E352" i="10"/>
  <c r="F352" i="10"/>
  <c r="I352" i="10"/>
  <c r="J352" i="10"/>
  <c r="D353" i="10"/>
  <c r="E353" i="10"/>
  <c r="F353" i="10"/>
  <c r="I353" i="10"/>
  <c r="J353" i="10"/>
  <c r="D354" i="10"/>
  <c r="E354" i="10"/>
  <c r="F354" i="10"/>
  <c r="I354" i="10"/>
  <c r="D355" i="10"/>
  <c r="E355" i="10"/>
  <c r="F355" i="10"/>
  <c r="I355" i="10"/>
  <c r="J355" i="10"/>
  <c r="D356" i="10"/>
  <c r="E356" i="10"/>
  <c r="F356" i="10"/>
  <c r="I356" i="10"/>
  <c r="J356" i="10"/>
  <c r="D357" i="10"/>
  <c r="E357" i="10"/>
  <c r="F357" i="10"/>
  <c r="I357" i="10"/>
  <c r="D358" i="10"/>
  <c r="E358" i="10"/>
  <c r="F358" i="10"/>
  <c r="I358" i="10"/>
  <c r="J358" i="10"/>
  <c r="D359" i="10"/>
  <c r="E359" i="10"/>
  <c r="F359" i="10"/>
  <c r="I359" i="10"/>
  <c r="D360" i="10"/>
  <c r="E360" i="10"/>
  <c r="F360" i="10"/>
  <c r="I360" i="10"/>
  <c r="J360" i="10"/>
  <c r="D361" i="10"/>
  <c r="E361" i="10"/>
  <c r="F361" i="10"/>
  <c r="I361" i="10"/>
  <c r="J361" i="10"/>
  <c r="D362" i="10"/>
  <c r="E362" i="10"/>
  <c r="F362" i="10"/>
  <c r="I362" i="10"/>
  <c r="J362" i="10"/>
  <c r="D363" i="10"/>
  <c r="E363" i="10"/>
  <c r="F363" i="10"/>
  <c r="I363" i="10"/>
  <c r="J363" i="10"/>
  <c r="D364" i="10"/>
  <c r="E364" i="10"/>
  <c r="F364" i="10"/>
  <c r="I364" i="10"/>
  <c r="J364" i="10"/>
  <c r="D365" i="10"/>
  <c r="E365" i="10"/>
  <c r="F365" i="10"/>
  <c r="I365" i="10"/>
  <c r="J365" i="10"/>
  <c r="D366" i="10"/>
  <c r="E366" i="10"/>
  <c r="F366" i="10"/>
  <c r="I366" i="10"/>
  <c r="J366" i="10"/>
  <c r="D367" i="10"/>
  <c r="E367" i="10"/>
  <c r="F367" i="10"/>
  <c r="I367" i="10"/>
  <c r="D368" i="10"/>
  <c r="E368" i="10"/>
  <c r="F368" i="10"/>
  <c r="I368" i="10"/>
  <c r="D369" i="10"/>
  <c r="E369" i="10"/>
  <c r="F369" i="10"/>
  <c r="I369" i="10"/>
  <c r="J369" i="10"/>
  <c r="D370" i="10"/>
  <c r="E370" i="10"/>
  <c r="F370" i="10"/>
  <c r="I370" i="10"/>
  <c r="J370" i="10"/>
  <c r="D371" i="10"/>
  <c r="E371" i="10"/>
  <c r="F371" i="10"/>
  <c r="I371" i="10"/>
  <c r="J371" i="10"/>
  <c r="D372" i="10"/>
  <c r="E372" i="10"/>
  <c r="F372" i="10"/>
  <c r="I372" i="10"/>
  <c r="D373" i="10"/>
  <c r="E373" i="10"/>
  <c r="F373" i="10"/>
  <c r="I373" i="10"/>
  <c r="J373" i="10"/>
  <c r="D374" i="10"/>
  <c r="E374" i="10"/>
  <c r="F374" i="10"/>
  <c r="I374" i="10"/>
  <c r="J374" i="10"/>
  <c r="D375" i="10"/>
  <c r="E375" i="10"/>
  <c r="F375" i="10"/>
  <c r="I375" i="10"/>
  <c r="J375" i="10"/>
  <c r="D376" i="10"/>
  <c r="E376" i="10"/>
  <c r="F376" i="10"/>
  <c r="I376" i="10"/>
  <c r="J376" i="10"/>
  <c r="D377" i="10"/>
  <c r="E377" i="10"/>
  <c r="F377" i="10"/>
  <c r="I377" i="10"/>
  <c r="D378" i="10"/>
  <c r="E378" i="10"/>
  <c r="F378" i="10"/>
  <c r="I378" i="10"/>
  <c r="J378" i="10"/>
  <c r="D379" i="10"/>
  <c r="E379" i="10"/>
  <c r="F379" i="10"/>
  <c r="I379" i="10"/>
  <c r="D380" i="10"/>
  <c r="E380" i="10"/>
  <c r="F380" i="10"/>
  <c r="I380" i="10"/>
  <c r="J380" i="10"/>
  <c r="D381" i="10"/>
  <c r="E381" i="10"/>
  <c r="F381" i="10"/>
  <c r="I381" i="10"/>
  <c r="J381" i="10"/>
  <c r="D382" i="10"/>
  <c r="E382" i="10"/>
  <c r="F382" i="10"/>
  <c r="I382" i="10"/>
  <c r="D383" i="10"/>
  <c r="E383" i="10"/>
  <c r="F383" i="10"/>
  <c r="I383" i="10"/>
  <c r="J383" i="10"/>
  <c r="D384" i="10"/>
  <c r="E384" i="10"/>
  <c r="F384" i="10"/>
  <c r="I384" i="10"/>
  <c r="J384" i="10"/>
  <c r="D385" i="10"/>
  <c r="E385" i="10"/>
  <c r="F385" i="10"/>
  <c r="I385" i="10"/>
  <c r="D386" i="10"/>
  <c r="E386" i="10"/>
  <c r="F386" i="10"/>
  <c r="I386" i="10"/>
  <c r="J386" i="10"/>
  <c r="D387" i="10"/>
  <c r="E387" i="10"/>
  <c r="F387" i="10"/>
  <c r="I387" i="10"/>
  <c r="J387" i="10"/>
  <c r="D388" i="10"/>
  <c r="E388" i="10"/>
  <c r="F388" i="10"/>
  <c r="I388" i="10"/>
  <c r="J388" i="10"/>
  <c r="D389" i="10"/>
  <c r="E389" i="10"/>
  <c r="F389" i="10"/>
  <c r="I389" i="10"/>
  <c r="J389" i="10"/>
  <c r="D390" i="10"/>
  <c r="E390" i="10"/>
  <c r="F390" i="10"/>
  <c r="I390" i="10"/>
  <c r="D391" i="10"/>
  <c r="E391" i="10"/>
  <c r="F391" i="10"/>
  <c r="I391" i="10"/>
  <c r="J391" i="10"/>
  <c r="D392" i="10"/>
  <c r="E392" i="10"/>
  <c r="F392" i="10"/>
  <c r="I392" i="10"/>
  <c r="D393" i="10"/>
  <c r="E393" i="10"/>
  <c r="F393" i="10"/>
  <c r="I393" i="10"/>
  <c r="J393" i="10"/>
  <c r="D394" i="10"/>
  <c r="E394" i="10"/>
  <c r="F394" i="10"/>
  <c r="I394" i="10"/>
  <c r="J394" i="10"/>
  <c r="D395" i="10"/>
  <c r="E395" i="10"/>
  <c r="F395" i="10"/>
  <c r="I395" i="10"/>
  <c r="D396" i="10"/>
  <c r="E396" i="10"/>
  <c r="F396" i="10"/>
  <c r="I396" i="10"/>
  <c r="J396" i="10"/>
  <c r="D397" i="10"/>
  <c r="E397" i="10"/>
  <c r="F397" i="10"/>
  <c r="I397" i="10"/>
  <c r="D398" i="10"/>
  <c r="E398" i="10"/>
  <c r="F398" i="10"/>
  <c r="I398" i="10"/>
  <c r="J398" i="10"/>
  <c r="D399" i="10"/>
  <c r="E399" i="10"/>
  <c r="F399" i="10"/>
  <c r="I399" i="10"/>
  <c r="J399" i="10"/>
  <c r="D400" i="10"/>
  <c r="E400" i="10"/>
  <c r="F400" i="10"/>
  <c r="I400" i="10"/>
  <c r="D401" i="10"/>
  <c r="E401" i="10"/>
  <c r="F401" i="10"/>
  <c r="I401" i="10"/>
  <c r="J401" i="10"/>
  <c r="D402" i="10"/>
  <c r="E402" i="10"/>
  <c r="F402" i="10"/>
  <c r="I402" i="10"/>
  <c r="J402" i="10"/>
  <c r="D403" i="10"/>
  <c r="E403" i="10"/>
  <c r="F403" i="10"/>
  <c r="I403" i="10"/>
  <c r="D404" i="10"/>
  <c r="E404" i="10"/>
  <c r="F404" i="10"/>
  <c r="I404" i="10"/>
  <c r="J404" i="10"/>
  <c r="D405" i="10"/>
  <c r="E405" i="10"/>
  <c r="F405" i="10"/>
  <c r="I405" i="10"/>
  <c r="J405" i="10"/>
  <c r="D406" i="10"/>
  <c r="E406" i="10"/>
  <c r="F406" i="10"/>
  <c r="I406" i="10"/>
  <c r="J406" i="10"/>
  <c r="D407" i="10"/>
  <c r="E407" i="10"/>
  <c r="F407" i="10"/>
  <c r="I407" i="10"/>
  <c r="D408" i="10"/>
  <c r="E408" i="10"/>
  <c r="F408" i="10"/>
  <c r="I408" i="10"/>
  <c r="J408" i="10"/>
  <c r="D409" i="10"/>
  <c r="E409" i="10"/>
  <c r="F409" i="10"/>
  <c r="I409" i="10"/>
  <c r="D410" i="10"/>
  <c r="E410" i="10"/>
  <c r="F410" i="10"/>
  <c r="I410" i="10"/>
  <c r="J410" i="10"/>
  <c r="D411" i="10"/>
  <c r="E411" i="10"/>
  <c r="F411" i="10"/>
  <c r="I411" i="10"/>
  <c r="J411" i="10"/>
  <c r="D412" i="10"/>
  <c r="E412" i="10"/>
  <c r="F412" i="10"/>
  <c r="I412" i="10"/>
  <c r="J412" i="10"/>
  <c r="D413" i="10"/>
  <c r="E413" i="10"/>
  <c r="F413" i="10"/>
  <c r="I413" i="10"/>
  <c r="J413" i="10"/>
  <c r="D414" i="10"/>
  <c r="E414" i="10"/>
  <c r="F414" i="10"/>
  <c r="I414" i="10"/>
  <c r="J414" i="10"/>
  <c r="D415" i="10"/>
  <c r="E415" i="10"/>
  <c r="F415" i="10"/>
  <c r="I415" i="10"/>
  <c r="D416" i="10"/>
  <c r="E416" i="10"/>
  <c r="F416" i="10"/>
  <c r="I416" i="10"/>
  <c r="J416" i="10"/>
  <c r="D417" i="10"/>
  <c r="E417" i="10"/>
  <c r="F417" i="10"/>
  <c r="I417" i="10"/>
  <c r="D418" i="10"/>
  <c r="E418" i="10"/>
  <c r="F418" i="10"/>
  <c r="I418" i="10"/>
  <c r="J418" i="10"/>
  <c r="D419" i="10"/>
  <c r="E419" i="10"/>
  <c r="F419" i="10"/>
  <c r="I419" i="10"/>
  <c r="J419" i="10"/>
  <c r="D420" i="10"/>
  <c r="E420" i="10"/>
  <c r="F420" i="10"/>
  <c r="I420" i="10"/>
  <c r="J420" i="10"/>
  <c r="D421" i="10"/>
  <c r="E421" i="10"/>
  <c r="F421" i="10"/>
  <c r="I421" i="10"/>
  <c r="J421" i="10"/>
  <c r="D422" i="10"/>
  <c r="E422" i="10"/>
  <c r="F422" i="10"/>
  <c r="I422" i="10"/>
  <c r="D423" i="10"/>
  <c r="E423" i="10"/>
  <c r="F423" i="10"/>
  <c r="I423" i="10"/>
  <c r="J423" i="10"/>
  <c r="D424" i="10"/>
  <c r="E424" i="10"/>
  <c r="F424" i="10"/>
  <c r="I424" i="10"/>
  <c r="D425" i="10"/>
  <c r="E425" i="10"/>
  <c r="F425" i="10"/>
  <c r="I425" i="10"/>
  <c r="D426" i="10"/>
  <c r="E426" i="10"/>
  <c r="F426" i="10"/>
  <c r="I426" i="10"/>
  <c r="J426" i="10"/>
  <c r="D427" i="10"/>
  <c r="E427" i="10"/>
  <c r="F427" i="10"/>
  <c r="I427" i="10"/>
  <c r="D428" i="10"/>
  <c r="E428" i="10"/>
  <c r="F428" i="10"/>
  <c r="I428" i="10"/>
  <c r="J428" i="10"/>
  <c r="D429" i="10"/>
  <c r="E429" i="10"/>
  <c r="F429" i="10"/>
  <c r="I429" i="10"/>
  <c r="D430" i="10"/>
  <c r="E430" i="10"/>
  <c r="F430" i="10"/>
  <c r="I430" i="10"/>
  <c r="J430" i="10"/>
  <c r="D431" i="10"/>
  <c r="E431" i="10"/>
  <c r="F431" i="10"/>
  <c r="I431" i="10"/>
  <c r="J431" i="10"/>
  <c r="D432" i="10"/>
  <c r="E432" i="10"/>
  <c r="F432" i="10"/>
  <c r="I432" i="10"/>
  <c r="J432" i="10"/>
  <c r="D433" i="10"/>
  <c r="E433" i="10"/>
  <c r="F433" i="10"/>
  <c r="I433" i="10"/>
  <c r="J433" i="10"/>
  <c r="D434" i="10"/>
  <c r="E434" i="10"/>
  <c r="F434" i="10"/>
  <c r="I434" i="10"/>
  <c r="J434" i="10"/>
  <c r="D435" i="10"/>
  <c r="E435" i="10"/>
  <c r="F435" i="10"/>
  <c r="I435" i="10"/>
  <c r="J435" i="10"/>
  <c r="D436" i="10"/>
  <c r="E436" i="10"/>
  <c r="F436" i="10"/>
  <c r="I436" i="10"/>
  <c r="D437" i="10"/>
  <c r="E437" i="10"/>
  <c r="F437" i="10"/>
  <c r="I437" i="10"/>
  <c r="J437" i="10"/>
  <c r="D438" i="10"/>
  <c r="E438" i="10"/>
  <c r="F438" i="10"/>
  <c r="I438" i="10"/>
  <c r="J438" i="10"/>
  <c r="D439" i="10"/>
  <c r="E439" i="10"/>
  <c r="F439" i="10"/>
  <c r="I439" i="10"/>
  <c r="J439" i="10"/>
  <c r="D440" i="10"/>
  <c r="E440" i="10"/>
  <c r="F440" i="10"/>
  <c r="I440" i="10"/>
  <c r="D441" i="10"/>
  <c r="E441" i="10"/>
  <c r="F441" i="10"/>
  <c r="I441" i="10"/>
  <c r="J441" i="10"/>
  <c r="D442" i="10"/>
  <c r="E442" i="10"/>
  <c r="F442" i="10"/>
  <c r="I442" i="10"/>
  <c r="J442" i="10"/>
  <c r="D443" i="10"/>
  <c r="E443" i="10"/>
  <c r="F443" i="10"/>
  <c r="I443" i="10"/>
  <c r="D444" i="10"/>
  <c r="E444" i="10"/>
  <c r="F444" i="10"/>
  <c r="I444" i="10"/>
  <c r="J444" i="10"/>
  <c r="D445" i="10"/>
  <c r="E445" i="10"/>
  <c r="F445" i="10"/>
  <c r="I445" i="10"/>
  <c r="D446" i="10"/>
  <c r="E446" i="10"/>
  <c r="F446" i="10"/>
  <c r="I446" i="10"/>
  <c r="J446" i="10"/>
  <c r="D447" i="10"/>
  <c r="E447" i="10"/>
  <c r="F447" i="10"/>
  <c r="I447" i="10"/>
  <c r="J447" i="10"/>
  <c r="D448" i="10"/>
  <c r="E448" i="10"/>
  <c r="F448" i="10"/>
  <c r="I448" i="10"/>
  <c r="D449" i="10"/>
  <c r="E449" i="10"/>
  <c r="F449" i="10"/>
  <c r="I449" i="10"/>
  <c r="J449" i="10"/>
  <c r="D450" i="10"/>
  <c r="E450" i="10"/>
  <c r="F450" i="10"/>
  <c r="I450" i="10"/>
  <c r="D451" i="10"/>
  <c r="E451" i="10"/>
  <c r="F451" i="10"/>
  <c r="I451" i="10"/>
  <c r="J451" i="10"/>
  <c r="D452" i="10"/>
  <c r="E452" i="10"/>
  <c r="F452" i="10"/>
  <c r="I452" i="10"/>
  <c r="J452" i="10"/>
  <c r="D453" i="10"/>
  <c r="E453" i="10"/>
  <c r="F453" i="10"/>
  <c r="I453" i="10"/>
  <c r="D454" i="10"/>
  <c r="E454" i="10"/>
  <c r="F454" i="10"/>
  <c r="I454" i="10"/>
  <c r="J454" i="10"/>
  <c r="D455" i="10"/>
  <c r="E455" i="10"/>
  <c r="F455" i="10"/>
  <c r="I455" i="10"/>
  <c r="D456" i="10"/>
  <c r="E456" i="10"/>
  <c r="F456" i="10"/>
  <c r="I456" i="10"/>
  <c r="D457" i="10"/>
  <c r="E457" i="10"/>
  <c r="F457" i="10"/>
  <c r="I457" i="10"/>
  <c r="J457" i="10"/>
  <c r="D458" i="10"/>
  <c r="E458" i="10"/>
  <c r="F458" i="10"/>
  <c r="I458" i="10"/>
  <c r="J458" i="10"/>
  <c r="D459" i="10"/>
  <c r="E459" i="10"/>
  <c r="F459" i="10"/>
  <c r="I459" i="10"/>
  <c r="J459" i="10"/>
  <c r="D460" i="10"/>
  <c r="E460" i="10"/>
  <c r="F460" i="10"/>
  <c r="I460" i="10"/>
  <c r="J460" i="10"/>
  <c r="D461" i="10"/>
  <c r="E461" i="10"/>
  <c r="F461" i="10"/>
  <c r="I461" i="10"/>
  <c r="D462" i="10"/>
  <c r="E462" i="10"/>
  <c r="F462" i="10"/>
  <c r="I462" i="10"/>
  <c r="J462" i="10"/>
  <c r="D463" i="10"/>
  <c r="E463" i="10"/>
  <c r="F463" i="10"/>
  <c r="I463" i="10"/>
  <c r="J463" i="10"/>
  <c r="D464" i="10"/>
  <c r="E464" i="10"/>
  <c r="F464" i="10"/>
  <c r="I464" i="10"/>
  <c r="D465" i="10"/>
  <c r="E465" i="10"/>
  <c r="F465" i="10"/>
  <c r="I465" i="10"/>
  <c r="J465" i="10"/>
  <c r="D466" i="10"/>
  <c r="E466" i="10"/>
  <c r="F466" i="10"/>
  <c r="I466" i="10"/>
  <c r="J466" i="10"/>
  <c r="D467" i="10"/>
  <c r="E467" i="10"/>
  <c r="F467" i="10"/>
  <c r="I467" i="10"/>
  <c r="J467" i="10"/>
  <c r="D468" i="10"/>
  <c r="E468" i="10"/>
  <c r="F468" i="10"/>
  <c r="I468" i="10"/>
  <c r="J468" i="10"/>
  <c r="D469" i="10"/>
  <c r="E469" i="10"/>
  <c r="F469" i="10"/>
  <c r="I469" i="10"/>
  <c r="J469" i="10"/>
  <c r="D470" i="10"/>
  <c r="E470" i="10"/>
  <c r="F470" i="10"/>
  <c r="I470" i="10"/>
  <c r="J470" i="10"/>
  <c r="D471" i="10"/>
  <c r="E471" i="10"/>
  <c r="F471" i="10"/>
  <c r="I471" i="10"/>
  <c r="J471" i="10"/>
  <c r="D472" i="10"/>
  <c r="E472" i="10"/>
  <c r="F472" i="10"/>
  <c r="I472" i="10"/>
  <c r="J472" i="10"/>
  <c r="D473" i="10"/>
  <c r="E473" i="10"/>
  <c r="F473" i="10"/>
  <c r="I473" i="10"/>
  <c r="J473" i="10"/>
  <c r="D474" i="10"/>
  <c r="E474" i="10"/>
  <c r="F474" i="10"/>
  <c r="I474" i="10"/>
  <c r="D475" i="10"/>
  <c r="E475" i="10"/>
  <c r="F475" i="10"/>
  <c r="I475" i="10"/>
  <c r="J475" i="10"/>
  <c r="D476" i="10"/>
  <c r="E476" i="10"/>
  <c r="F476" i="10"/>
  <c r="I476" i="10"/>
  <c r="J476" i="10"/>
  <c r="D477" i="10"/>
  <c r="E477" i="10"/>
  <c r="F477" i="10"/>
  <c r="I477" i="10"/>
  <c r="D478" i="10"/>
  <c r="E478" i="10"/>
  <c r="F478" i="10"/>
  <c r="I478" i="10"/>
  <c r="J478" i="10"/>
  <c r="D479" i="10"/>
  <c r="E479" i="10"/>
  <c r="F479" i="10"/>
  <c r="I479" i="10"/>
  <c r="J479" i="10"/>
  <c r="D480" i="10"/>
  <c r="E480" i="10"/>
  <c r="F480" i="10"/>
  <c r="I480" i="10"/>
  <c r="D481" i="10"/>
  <c r="E481" i="10"/>
  <c r="F481" i="10"/>
  <c r="I481" i="10"/>
  <c r="D482" i="10"/>
  <c r="E482" i="10"/>
  <c r="F482" i="10"/>
  <c r="I482" i="10"/>
  <c r="J482" i="10"/>
  <c r="D483" i="10"/>
  <c r="E483" i="10"/>
  <c r="F483" i="10"/>
  <c r="I483" i="10"/>
  <c r="J483" i="10"/>
  <c r="D484" i="10"/>
  <c r="E484" i="10"/>
  <c r="F484" i="10"/>
  <c r="I484" i="10"/>
  <c r="J484" i="10"/>
  <c r="D485" i="10"/>
  <c r="E485" i="10"/>
  <c r="F485" i="10"/>
  <c r="I485" i="10"/>
  <c r="J485" i="10"/>
  <c r="D486" i="10"/>
  <c r="E486" i="10"/>
  <c r="F486" i="10"/>
  <c r="I486" i="10"/>
  <c r="J486" i="10"/>
  <c r="D487" i="10"/>
  <c r="E487" i="10"/>
  <c r="F487" i="10"/>
  <c r="I487" i="10"/>
  <c r="J487" i="10"/>
  <c r="D488" i="10"/>
  <c r="E488" i="10"/>
  <c r="F488" i="10"/>
  <c r="I488" i="10"/>
  <c r="J488" i="10"/>
  <c r="D489" i="10"/>
  <c r="E489" i="10"/>
  <c r="F489" i="10"/>
  <c r="I489" i="10"/>
  <c r="J489" i="10"/>
  <c r="D490" i="10"/>
  <c r="E490" i="10"/>
  <c r="F490" i="10"/>
  <c r="I490" i="10"/>
  <c r="D491" i="10"/>
  <c r="E491" i="10"/>
  <c r="F491" i="10"/>
  <c r="I491" i="10"/>
  <c r="J491" i="10"/>
  <c r="D492" i="10"/>
  <c r="E492" i="10"/>
  <c r="F492" i="10"/>
  <c r="I492" i="10"/>
  <c r="D493" i="10"/>
  <c r="E493" i="10"/>
  <c r="F493" i="10"/>
  <c r="I493" i="10"/>
  <c r="J493" i="10"/>
  <c r="D494" i="10"/>
  <c r="E494" i="10"/>
  <c r="F494" i="10"/>
  <c r="I494" i="10"/>
  <c r="J494" i="10"/>
  <c r="D495" i="10"/>
  <c r="E495" i="10"/>
  <c r="F495" i="10"/>
  <c r="I495" i="10"/>
  <c r="D496" i="10"/>
  <c r="E496" i="10"/>
  <c r="F496" i="10"/>
  <c r="I496" i="10"/>
  <c r="J496" i="10"/>
  <c r="D497" i="10"/>
  <c r="E497" i="10"/>
  <c r="F497" i="10"/>
  <c r="I497" i="10"/>
  <c r="D498" i="10"/>
  <c r="E498" i="10"/>
  <c r="F498" i="10"/>
  <c r="I498" i="10"/>
  <c r="J498" i="10"/>
  <c r="D499" i="10"/>
  <c r="E499" i="10"/>
  <c r="F499" i="10"/>
  <c r="I499" i="10"/>
  <c r="D500" i="10"/>
  <c r="E500" i="10"/>
  <c r="F500" i="10"/>
  <c r="I500" i="10"/>
  <c r="D501" i="10"/>
  <c r="E501" i="10"/>
  <c r="F501" i="10"/>
  <c r="I501" i="10"/>
  <c r="J501" i="10"/>
  <c r="D502" i="10"/>
  <c r="E502" i="10"/>
  <c r="F502" i="10"/>
  <c r="I502" i="10"/>
  <c r="J502" i="10"/>
  <c r="D503" i="10"/>
  <c r="E503" i="10"/>
  <c r="F503" i="10"/>
  <c r="I503" i="10"/>
  <c r="J503" i="10"/>
  <c r="D504" i="10"/>
  <c r="E504" i="10"/>
  <c r="F504" i="10"/>
  <c r="I504" i="10"/>
  <c r="J504" i="10"/>
  <c r="D505" i="10"/>
  <c r="E505" i="10"/>
  <c r="F505" i="10"/>
  <c r="I505" i="10"/>
  <c r="J505" i="10"/>
  <c r="D506" i="10"/>
  <c r="E506" i="10"/>
  <c r="F506" i="10"/>
  <c r="I506" i="10"/>
  <c r="D507" i="10"/>
  <c r="E507" i="10"/>
  <c r="F507" i="10"/>
  <c r="I507" i="10"/>
  <c r="J507" i="10"/>
  <c r="D508" i="10"/>
  <c r="E508" i="10"/>
  <c r="F508" i="10"/>
  <c r="I508" i="10"/>
  <c r="J508" i="10"/>
  <c r="D509" i="10"/>
  <c r="E509" i="10"/>
  <c r="F509" i="10"/>
  <c r="I509" i="10"/>
  <c r="J509" i="10"/>
  <c r="D510" i="10"/>
  <c r="E510" i="10"/>
  <c r="F510" i="10"/>
  <c r="I510" i="10"/>
  <c r="J510" i="10"/>
  <c r="D511" i="10"/>
  <c r="E511" i="10"/>
  <c r="F511" i="10"/>
  <c r="I511" i="10"/>
  <c r="D512" i="10"/>
  <c r="E512" i="10"/>
  <c r="F512" i="10"/>
  <c r="I512" i="10"/>
  <c r="D513" i="10"/>
  <c r="E513" i="10"/>
  <c r="F513" i="10"/>
  <c r="I513" i="10"/>
  <c r="D514" i="10"/>
  <c r="E514" i="10"/>
  <c r="F514" i="10"/>
  <c r="I514" i="10"/>
  <c r="J514" i="10"/>
  <c r="D515" i="10"/>
  <c r="E515" i="10"/>
  <c r="F515" i="10"/>
  <c r="I515" i="10"/>
  <c r="J515" i="10"/>
  <c r="D516" i="10"/>
  <c r="E516" i="10"/>
  <c r="F516" i="10"/>
  <c r="I516" i="10"/>
  <c r="J516" i="10"/>
  <c r="D517" i="10"/>
  <c r="E517" i="10"/>
  <c r="F517" i="10"/>
  <c r="I517" i="10"/>
  <c r="J517" i="10"/>
  <c r="D518" i="10"/>
  <c r="E518" i="10"/>
  <c r="F518" i="10"/>
  <c r="I518" i="10"/>
  <c r="J518" i="10"/>
  <c r="D519" i="10"/>
  <c r="E519" i="10"/>
  <c r="F519" i="10"/>
  <c r="I519" i="10"/>
  <c r="J519" i="10"/>
  <c r="D520" i="10"/>
  <c r="E520" i="10"/>
  <c r="F520" i="10"/>
  <c r="I520" i="10"/>
  <c r="D521" i="10"/>
  <c r="E521" i="10"/>
  <c r="F521" i="10"/>
  <c r="I521" i="10"/>
  <c r="J521" i="10"/>
  <c r="D522" i="10"/>
  <c r="E522" i="10"/>
  <c r="F522" i="10"/>
  <c r="I522" i="10"/>
  <c r="J522" i="10"/>
  <c r="D523" i="10"/>
  <c r="E523" i="10"/>
  <c r="F523" i="10"/>
  <c r="I523" i="10"/>
  <c r="J523" i="10"/>
  <c r="D524" i="10"/>
  <c r="E524" i="10"/>
  <c r="F524" i="10"/>
  <c r="I524" i="10"/>
  <c r="J524" i="10"/>
  <c r="D525" i="10"/>
  <c r="E525" i="10"/>
  <c r="F525" i="10"/>
  <c r="I525" i="10"/>
  <c r="J525" i="10"/>
  <c r="D526" i="10"/>
  <c r="E526" i="10"/>
  <c r="F526" i="10"/>
  <c r="I526" i="10"/>
  <c r="J526" i="10"/>
  <c r="D527" i="10"/>
  <c r="E527" i="10"/>
  <c r="F527" i="10"/>
  <c r="I527" i="10"/>
  <c r="J527" i="10"/>
  <c r="D528" i="10"/>
  <c r="E528" i="10"/>
  <c r="F528" i="10"/>
  <c r="I528" i="10"/>
  <c r="J528" i="10"/>
  <c r="D529" i="10"/>
  <c r="E529" i="10"/>
  <c r="F529" i="10"/>
  <c r="I529" i="10"/>
  <c r="J529" i="10"/>
  <c r="D530" i="10"/>
  <c r="E530" i="10"/>
  <c r="F530" i="10"/>
  <c r="I530" i="10"/>
  <c r="J530" i="10"/>
  <c r="D531" i="10"/>
  <c r="E531" i="10"/>
  <c r="F531" i="10"/>
  <c r="I531" i="10"/>
  <c r="D532" i="10"/>
  <c r="E532" i="10"/>
  <c r="F532" i="10"/>
  <c r="I532" i="10"/>
  <c r="J532" i="10"/>
  <c r="D533" i="10"/>
  <c r="E533" i="10"/>
  <c r="F533" i="10"/>
  <c r="I533" i="10"/>
  <c r="J533" i="10"/>
  <c r="D534" i="10"/>
  <c r="E534" i="10"/>
  <c r="F534" i="10"/>
  <c r="I534" i="10"/>
  <c r="J534" i="10"/>
  <c r="D535" i="10"/>
  <c r="E535" i="10"/>
  <c r="F535" i="10"/>
  <c r="I535" i="10"/>
  <c r="J535" i="10"/>
  <c r="D536" i="10"/>
  <c r="E536" i="10"/>
  <c r="F536" i="10"/>
  <c r="I536" i="10"/>
  <c r="J536" i="10"/>
  <c r="D537" i="10"/>
  <c r="E537" i="10"/>
  <c r="F537" i="10"/>
  <c r="I537" i="10"/>
  <c r="J537" i="10"/>
  <c r="D538" i="10"/>
  <c r="E538" i="10"/>
  <c r="F538" i="10"/>
  <c r="I538" i="10"/>
  <c r="D539" i="10"/>
  <c r="E539" i="10"/>
  <c r="F539" i="10"/>
  <c r="I539" i="10"/>
  <c r="J539" i="10"/>
  <c r="D540" i="10"/>
  <c r="E540" i="10"/>
  <c r="F540" i="10"/>
  <c r="I540" i="10"/>
  <c r="J540" i="10"/>
  <c r="D541" i="10"/>
  <c r="E541" i="10"/>
  <c r="F541" i="10"/>
  <c r="I541" i="10"/>
  <c r="J541" i="10"/>
  <c r="D542" i="10"/>
  <c r="E542" i="10"/>
  <c r="F542" i="10"/>
  <c r="I542" i="10"/>
  <c r="J542" i="10"/>
  <c r="D543" i="10"/>
  <c r="E543" i="10"/>
  <c r="F543" i="10"/>
  <c r="I543" i="10"/>
  <c r="J543" i="10"/>
  <c r="D544" i="10"/>
  <c r="E544" i="10"/>
  <c r="F544" i="10"/>
  <c r="I544" i="10"/>
  <c r="J544" i="10"/>
  <c r="D545" i="10"/>
  <c r="E545" i="10"/>
  <c r="F545" i="10"/>
  <c r="I545" i="10"/>
  <c r="D546" i="10"/>
  <c r="E546" i="10"/>
  <c r="F546" i="10"/>
  <c r="I546" i="10"/>
  <c r="J546" i="10"/>
  <c r="D547" i="10"/>
  <c r="E547" i="10"/>
  <c r="F547" i="10"/>
  <c r="I547" i="10"/>
  <c r="J547" i="10"/>
  <c r="D548" i="10"/>
  <c r="E548" i="10"/>
  <c r="F548" i="10"/>
  <c r="I548" i="10"/>
  <c r="J548" i="10"/>
  <c r="D549" i="10"/>
  <c r="E549" i="10"/>
  <c r="F549" i="10"/>
  <c r="I549" i="10"/>
  <c r="J549" i="10"/>
  <c r="D550" i="10"/>
  <c r="E550" i="10"/>
  <c r="F550" i="10"/>
  <c r="I550" i="10"/>
  <c r="D551" i="10"/>
  <c r="E551" i="10"/>
  <c r="F551" i="10"/>
  <c r="I551" i="10"/>
  <c r="J551" i="10"/>
  <c r="D552" i="10"/>
  <c r="E552" i="10"/>
  <c r="F552" i="10"/>
  <c r="I552" i="10"/>
  <c r="J552" i="10"/>
  <c r="D553" i="10"/>
  <c r="E553" i="10"/>
  <c r="F553" i="10"/>
  <c r="I553" i="10"/>
  <c r="J553" i="10"/>
  <c r="D554" i="10"/>
  <c r="E554" i="10"/>
  <c r="F554" i="10"/>
  <c r="I554" i="10"/>
  <c r="J554" i="10"/>
  <c r="D555" i="10"/>
  <c r="E555" i="10"/>
  <c r="F555" i="10"/>
  <c r="I555" i="10"/>
  <c r="D556" i="10"/>
  <c r="E556" i="10"/>
  <c r="F556" i="10"/>
  <c r="I556" i="10"/>
  <c r="J556" i="10"/>
  <c r="D557" i="10"/>
  <c r="E557" i="10"/>
  <c r="F557" i="10"/>
  <c r="I557" i="10"/>
  <c r="J557" i="10"/>
  <c r="D558" i="10"/>
  <c r="E558" i="10"/>
  <c r="F558" i="10"/>
  <c r="I558" i="10"/>
  <c r="J558" i="10"/>
  <c r="D559" i="10"/>
  <c r="E559" i="10"/>
  <c r="F559" i="10"/>
  <c r="I559" i="10"/>
  <c r="J559" i="10"/>
  <c r="D560" i="10"/>
  <c r="E560" i="10"/>
  <c r="F560" i="10"/>
  <c r="I560" i="10"/>
  <c r="D561" i="10"/>
  <c r="E561" i="10"/>
  <c r="F561" i="10"/>
  <c r="I561" i="10"/>
  <c r="J561" i="10"/>
  <c r="D562" i="10"/>
  <c r="E562" i="10"/>
  <c r="F562" i="10"/>
  <c r="I562" i="10"/>
  <c r="D563" i="10"/>
  <c r="E563" i="10"/>
  <c r="F563" i="10"/>
  <c r="I563" i="10"/>
  <c r="J563" i="10"/>
  <c r="D564" i="10"/>
  <c r="E564" i="10"/>
  <c r="F564" i="10"/>
  <c r="I564" i="10"/>
  <c r="J564" i="10"/>
  <c r="D565" i="10"/>
  <c r="E565" i="10"/>
  <c r="F565" i="10"/>
  <c r="I565" i="10"/>
  <c r="J565" i="10"/>
  <c r="D566" i="10"/>
  <c r="E566" i="10"/>
  <c r="F566" i="10"/>
  <c r="I566" i="10"/>
  <c r="J566" i="10"/>
  <c r="D567" i="10"/>
  <c r="E567" i="10"/>
  <c r="F567" i="10"/>
  <c r="I567" i="10"/>
  <c r="D568" i="10"/>
  <c r="E568" i="10"/>
  <c r="F568" i="10"/>
  <c r="I568" i="10"/>
  <c r="J568" i="10"/>
  <c r="D569" i="10"/>
  <c r="E569" i="10"/>
  <c r="F569" i="10"/>
  <c r="I569" i="10"/>
  <c r="J569" i="10"/>
  <c r="D570" i="10"/>
  <c r="E570" i="10"/>
  <c r="F570" i="10"/>
  <c r="I570" i="10"/>
  <c r="D571" i="10"/>
  <c r="E571" i="10"/>
  <c r="F571" i="10"/>
  <c r="I571" i="10"/>
  <c r="J571" i="10"/>
  <c r="D572" i="10"/>
  <c r="E572" i="10"/>
  <c r="F572" i="10"/>
  <c r="I572" i="10"/>
  <c r="J572" i="10"/>
  <c r="D573" i="10"/>
  <c r="E573" i="10"/>
  <c r="F573" i="10"/>
  <c r="I573" i="10"/>
  <c r="J573" i="10"/>
  <c r="D574" i="10"/>
  <c r="E574" i="10"/>
  <c r="F574" i="10"/>
  <c r="I574" i="10"/>
  <c r="D575" i="10"/>
  <c r="E575" i="10"/>
  <c r="F575" i="10"/>
  <c r="I575" i="10"/>
  <c r="D576" i="10"/>
  <c r="E576" i="10"/>
  <c r="F576" i="10"/>
  <c r="I576" i="10"/>
  <c r="J576" i="10"/>
  <c r="D577" i="10"/>
  <c r="E577" i="10"/>
  <c r="F577" i="10"/>
  <c r="I577" i="10"/>
  <c r="J577" i="10"/>
  <c r="D578" i="10"/>
  <c r="E578" i="10"/>
  <c r="F578" i="10"/>
  <c r="I578" i="10"/>
  <c r="J578" i="10"/>
  <c r="D579" i="10"/>
  <c r="E579" i="10"/>
  <c r="F579" i="10"/>
  <c r="I579" i="10"/>
  <c r="J579" i="10"/>
  <c r="D580" i="10"/>
  <c r="E580" i="10"/>
  <c r="F580" i="10"/>
  <c r="I580" i="10"/>
  <c r="J580" i="10"/>
  <c r="D581" i="10"/>
  <c r="E581" i="10"/>
  <c r="F581" i="10"/>
  <c r="I581" i="10"/>
  <c r="J581" i="10"/>
  <c r="D582" i="10"/>
  <c r="E582" i="10"/>
  <c r="F582" i="10"/>
  <c r="I582" i="10"/>
  <c r="J582" i="10"/>
  <c r="D583" i="10"/>
  <c r="E583" i="10"/>
  <c r="F583" i="10"/>
  <c r="I583" i="10"/>
  <c r="J583" i="10"/>
  <c r="D584" i="10"/>
  <c r="E584" i="10"/>
  <c r="F584" i="10"/>
  <c r="I584" i="10"/>
  <c r="J584" i="10"/>
  <c r="D585" i="10"/>
  <c r="E585" i="10"/>
  <c r="F585" i="10"/>
  <c r="I585" i="10"/>
  <c r="J585" i="10"/>
  <c r="D586" i="10"/>
  <c r="E586" i="10"/>
  <c r="F586" i="10"/>
  <c r="I586" i="10"/>
  <c r="J586" i="10"/>
  <c r="D587" i="10"/>
  <c r="E587" i="10"/>
  <c r="F587" i="10"/>
  <c r="I587" i="10"/>
  <c r="D588" i="10"/>
  <c r="E588" i="10"/>
  <c r="F588" i="10"/>
  <c r="I588" i="10"/>
  <c r="J588" i="10"/>
  <c r="D589" i="10"/>
  <c r="E589" i="10"/>
  <c r="F589" i="10"/>
  <c r="I589" i="10"/>
  <c r="J589" i="10"/>
  <c r="D590" i="10"/>
  <c r="E590" i="10"/>
  <c r="F590" i="10"/>
  <c r="I590" i="10"/>
  <c r="J590" i="10"/>
  <c r="D591" i="10"/>
  <c r="E591" i="10"/>
  <c r="F591" i="10"/>
  <c r="I591" i="10"/>
  <c r="D592" i="10"/>
  <c r="E592" i="10"/>
  <c r="F592" i="10"/>
  <c r="I592" i="10"/>
  <c r="J592" i="10"/>
  <c r="D593" i="10"/>
  <c r="E593" i="10"/>
  <c r="F593" i="10"/>
  <c r="I593" i="10"/>
  <c r="J593" i="10"/>
  <c r="D594" i="10"/>
  <c r="E594" i="10"/>
  <c r="F594" i="10"/>
  <c r="I594" i="10"/>
  <c r="J594" i="10"/>
  <c r="D595" i="10"/>
  <c r="E595" i="10"/>
  <c r="F595" i="10"/>
  <c r="I595" i="10"/>
  <c r="J595" i="10"/>
  <c r="D596" i="10"/>
  <c r="E596" i="10"/>
  <c r="F596" i="10"/>
  <c r="I596" i="10"/>
  <c r="J596" i="10"/>
  <c r="D597" i="10"/>
  <c r="E597" i="10"/>
  <c r="F597" i="10"/>
  <c r="I597" i="10"/>
  <c r="J597" i="10"/>
  <c r="D598" i="10"/>
  <c r="E598" i="10"/>
  <c r="F598" i="10"/>
  <c r="I598" i="10"/>
  <c r="J598" i="10"/>
  <c r="D599" i="10"/>
  <c r="E599" i="10"/>
  <c r="F599" i="10"/>
  <c r="I599" i="10"/>
  <c r="J599" i="10"/>
  <c r="D600" i="10"/>
  <c r="E600" i="10"/>
  <c r="F600" i="10"/>
  <c r="I600" i="10"/>
  <c r="J600" i="10"/>
  <c r="D601" i="10"/>
  <c r="E601" i="10"/>
  <c r="F601" i="10"/>
  <c r="I601" i="10"/>
  <c r="J601" i="10"/>
  <c r="D602" i="10"/>
  <c r="E602" i="10"/>
  <c r="F602" i="10"/>
  <c r="I602" i="10"/>
  <c r="J602" i="10"/>
  <c r="D603" i="10"/>
  <c r="E603" i="10"/>
  <c r="F603" i="10"/>
  <c r="I603" i="10"/>
  <c r="J603" i="10"/>
  <c r="D604" i="10"/>
  <c r="E604" i="10"/>
  <c r="F604" i="10"/>
  <c r="I604" i="10"/>
  <c r="J604" i="10"/>
  <c r="D605" i="10"/>
  <c r="E605" i="10"/>
  <c r="F605" i="10"/>
  <c r="I605" i="10"/>
  <c r="J605" i="10"/>
  <c r="D606" i="10"/>
  <c r="E606" i="10"/>
  <c r="F606" i="10"/>
  <c r="I606" i="10"/>
  <c r="J606" i="10"/>
  <c r="D607" i="10"/>
  <c r="E607" i="10"/>
  <c r="F607" i="10"/>
  <c r="I607" i="10"/>
  <c r="J607" i="10"/>
  <c r="D608" i="10"/>
  <c r="E608" i="10"/>
  <c r="F608" i="10"/>
  <c r="I608" i="10"/>
  <c r="J608" i="10"/>
  <c r="D609" i="10"/>
  <c r="E609" i="10"/>
  <c r="F609" i="10"/>
  <c r="I609" i="10"/>
  <c r="D610" i="10"/>
  <c r="E610" i="10"/>
  <c r="F610" i="10"/>
  <c r="I610" i="10"/>
  <c r="D611" i="10"/>
  <c r="E611" i="10"/>
  <c r="F611" i="10"/>
  <c r="I611" i="10"/>
  <c r="J611" i="10"/>
  <c r="D612" i="10"/>
  <c r="E612" i="10"/>
  <c r="F612" i="10"/>
  <c r="I612" i="10"/>
  <c r="J612" i="10"/>
  <c r="D613" i="10"/>
  <c r="E613" i="10"/>
  <c r="F613" i="10"/>
  <c r="I613" i="10"/>
  <c r="J613" i="10"/>
  <c r="D614" i="10"/>
  <c r="E614" i="10"/>
  <c r="F614" i="10"/>
  <c r="I614" i="10"/>
  <c r="J614" i="10"/>
  <c r="D615" i="10"/>
  <c r="E615" i="10"/>
  <c r="F615" i="10"/>
  <c r="I615" i="10"/>
  <c r="J615" i="10"/>
  <c r="D616" i="10"/>
  <c r="E616" i="10"/>
  <c r="F616" i="10"/>
  <c r="I616" i="10"/>
  <c r="D617" i="10"/>
  <c r="E617" i="10"/>
  <c r="F617" i="10"/>
  <c r="I617" i="10"/>
  <c r="J617" i="10"/>
  <c r="D618" i="10"/>
  <c r="E618" i="10"/>
  <c r="F618" i="10"/>
  <c r="I618" i="10"/>
  <c r="J618" i="10"/>
  <c r="D619" i="10"/>
  <c r="E619" i="10"/>
  <c r="F619" i="10"/>
  <c r="I619" i="10"/>
  <c r="J619" i="10"/>
  <c r="D620" i="10"/>
  <c r="E620" i="10"/>
  <c r="F620" i="10"/>
  <c r="I620" i="10"/>
  <c r="D621" i="10"/>
  <c r="E621" i="10"/>
  <c r="F621" i="10"/>
  <c r="I621" i="10"/>
  <c r="J621" i="10"/>
  <c r="D622" i="10"/>
  <c r="E622" i="10"/>
  <c r="F622" i="10"/>
  <c r="I622" i="10"/>
  <c r="J622" i="10"/>
  <c r="D623" i="10"/>
  <c r="E623" i="10"/>
  <c r="F623" i="10"/>
  <c r="I623" i="10"/>
  <c r="D624" i="10"/>
  <c r="E624" i="10"/>
  <c r="F624" i="10"/>
  <c r="I624" i="10"/>
  <c r="J624" i="10"/>
  <c r="D625" i="10"/>
  <c r="E625" i="10"/>
  <c r="F625" i="10"/>
  <c r="I625" i="10"/>
  <c r="J625" i="10"/>
  <c r="D626" i="10"/>
  <c r="E626" i="10"/>
  <c r="F626" i="10"/>
  <c r="I626" i="10"/>
  <c r="J626" i="10"/>
  <c r="D627" i="10"/>
  <c r="E627" i="10"/>
  <c r="F627" i="10"/>
  <c r="I627" i="10"/>
  <c r="J627" i="10"/>
  <c r="D628" i="10"/>
  <c r="E628" i="10"/>
  <c r="F628" i="10"/>
  <c r="I628" i="10"/>
  <c r="J628" i="10"/>
  <c r="D629" i="10"/>
  <c r="E629" i="10"/>
  <c r="F629" i="10"/>
  <c r="I629" i="10"/>
  <c r="J629" i="10"/>
  <c r="D630" i="10"/>
  <c r="E630" i="10"/>
  <c r="F630" i="10"/>
  <c r="I630" i="10"/>
  <c r="J630" i="10"/>
  <c r="D631" i="10"/>
  <c r="E631" i="10"/>
  <c r="F631" i="10"/>
  <c r="I631" i="10"/>
  <c r="J631" i="10"/>
  <c r="D632" i="10"/>
  <c r="E632" i="10"/>
  <c r="F632" i="10"/>
  <c r="I632" i="10"/>
  <c r="J632" i="10"/>
  <c r="D633" i="10"/>
  <c r="E633" i="10"/>
  <c r="F633" i="10"/>
  <c r="I633" i="10"/>
  <c r="J633" i="10"/>
  <c r="D634" i="10"/>
  <c r="E634" i="10"/>
  <c r="F634" i="10"/>
  <c r="I634" i="10"/>
  <c r="J634" i="10"/>
  <c r="D635" i="10"/>
  <c r="E635" i="10"/>
  <c r="F635" i="10"/>
  <c r="I635" i="10"/>
  <c r="D636" i="10"/>
  <c r="E636" i="10"/>
  <c r="F636" i="10"/>
  <c r="I636" i="10"/>
  <c r="J636" i="10"/>
  <c r="D637" i="10"/>
  <c r="E637" i="10"/>
  <c r="F637" i="10"/>
  <c r="I637" i="10"/>
  <c r="J637" i="10"/>
  <c r="D638" i="10"/>
  <c r="E638" i="10"/>
  <c r="F638" i="10"/>
  <c r="I638" i="10"/>
  <c r="J638" i="10"/>
  <c r="D639" i="10"/>
  <c r="E639" i="10"/>
  <c r="F639" i="10"/>
  <c r="I639" i="10"/>
  <c r="J639" i="10"/>
  <c r="D640" i="10"/>
  <c r="E640" i="10"/>
  <c r="F640" i="10"/>
  <c r="I640" i="10"/>
  <c r="J640" i="10"/>
  <c r="D641" i="10"/>
  <c r="E641" i="10"/>
  <c r="F641" i="10"/>
  <c r="I641" i="10"/>
  <c r="J641" i="10"/>
  <c r="D642" i="10"/>
  <c r="E642" i="10"/>
  <c r="F642" i="10"/>
  <c r="I642" i="10"/>
  <c r="J642" i="10"/>
  <c r="D643" i="10"/>
  <c r="E643" i="10"/>
  <c r="F643" i="10"/>
  <c r="I643" i="10"/>
  <c r="J643" i="10"/>
  <c r="D644" i="10"/>
  <c r="E644" i="10"/>
  <c r="F644" i="10"/>
  <c r="I644" i="10"/>
  <c r="J644" i="10"/>
  <c r="D645" i="10"/>
  <c r="E645" i="10"/>
  <c r="F645" i="10"/>
  <c r="I645" i="10"/>
  <c r="J645" i="10"/>
  <c r="D646" i="10"/>
  <c r="E646" i="10"/>
  <c r="F646" i="10"/>
  <c r="I646" i="10"/>
  <c r="D647" i="10"/>
  <c r="E647" i="10"/>
  <c r="F647" i="10"/>
  <c r="I647" i="10"/>
  <c r="J647" i="10"/>
  <c r="D648" i="10"/>
  <c r="E648" i="10"/>
  <c r="F648" i="10"/>
  <c r="I648" i="10"/>
  <c r="D649" i="10"/>
  <c r="E649" i="10"/>
  <c r="F649" i="10"/>
  <c r="I649" i="10"/>
  <c r="J649" i="10"/>
  <c r="D650" i="10"/>
  <c r="E650" i="10"/>
  <c r="F650" i="10"/>
  <c r="I650" i="10"/>
  <c r="J650" i="10"/>
  <c r="D651" i="10"/>
  <c r="E651" i="10"/>
  <c r="F651" i="10"/>
  <c r="I651" i="10"/>
  <c r="J651" i="10"/>
  <c r="D652" i="10"/>
  <c r="E652" i="10"/>
  <c r="F652" i="10"/>
  <c r="I652" i="10"/>
  <c r="J652" i="10"/>
  <c r="D653" i="10"/>
  <c r="E653" i="10"/>
  <c r="F653" i="10"/>
  <c r="I653" i="10"/>
  <c r="J653" i="10"/>
  <c r="D654" i="10"/>
  <c r="E654" i="10"/>
  <c r="F654" i="10"/>
  <c r="I654" i="10"/>
  <c r="J654" i="10"/>
  <c r="D655" i="10"/>
  <c r="E655" i="10"/>
  <c r="F655" i="10"/>
  <c r="I655" i="10"/>
  <c r="J655" i="10"/>
  <c r="D656" i="10"/>
  <c r="E656" i="10"/>
  <c r="F656" i="10"/>
  <c r="I656" i="10"/>
  <c r="J656" i="10"/>
  <c r="D657" i="10"/>
  <c r="E657" i="10"/>
  <c r="F657" i="10"/>
  <c r="I657" i="10"/>
  <c r="J657" i="10"/>
  <c r="D658" i="10"/>
  <c r="E658" i="10"/>
  <c r="F658" i="10"/>
  <c r="I658" i="10"/>
  <c r="J658" i="10"/>
  <c r="D659" i="10"/>
  <c r="E659" i="10"/>
  <c r="F659" i="10"/>
  <c r="I659" i="10"/>
  <c r="J659" i="10"/>
  <c r="D660" i="10"/>
  <c r="E660" i="10"/>
  <c r="F660" i="10"/>
  <c r="I660" i="10"/>
  <c r="J660" i="10"/>
  <c r="D661" i="10"/>
  <c r="E661" i="10"/>
  <c r="F661" i="10"/>
  <c r="I661" i="10"/>
  <c r="J661" i="10"/>
  <c r="D662" i="10"/>
  <c r="E662" i="10"/>
  <c r="F662" i="10"/>
  <c r="I662" i="10"/>
  <c r="J662" i="10"/>
  <c r="D663" i="10"/>
  <c r="E663" i="10"/>
  <c r="F663" i="10"/>
  <c r="I663" i="10"/>
  <c r="J663" i="10"/>
  <c r="D664" i="10"/>
  <c r="E664" i="10"/>
  <c r="F664" i="10"/>
  <c r="I664" i="10"/>
  <c r="J664" i="10"/>
  <c r="D665" i="10"/>
  <c r="E665" i="10"/>
  <c r="F665" i="10"/>
  <c r="I665" i="10"/>
  <c r="J665" i="10"/>
  <c r="D666" i="10"/>
  <c r="E666" i="10"/>
  <c r="F666" i="10"/>
  <c r="I666" i="10"/>
  <c r="J666" i="10"/>
  <c r="D667" i="10"/>
  <c r="E667" i="10"/>
  <c r="F667" i="10"/>
  <c r="I667" i="10"/>
  <c r="J667" i="10"/>
  <c r="D668" i="10"/>
  <c r="E668" i="10"/>
  <c r="F668" i="10"/>
  <c r="I668" i="10"/>
  <c r="J668" i="10"/>
  <c r="D669" i="10"/>
  <c r="E669" i="10"/>
  <c r="F669" i="10"/>
  <c r="I669" i="10"/>
  <c r="J669" i="10"/>
  <c r="D670" i="10"/>
  <c r="E670" i="10"/>
  <c r="F670" i="10"/>
  <c r="I670" i="10"/>
  <c r="J670" i="10"/>
  <c r="D671" i="10"/>
  <c r="E671" i="10"/>
  <c r="F671" i="10"/>
  <c r="I671" i="10"/>
  <c r="J671" i="10"/>
  <c r="D672" i="10"/>
  <c r="E672" i="10"/>
  <c r="F672" i="10"/>
  <c r="I672" i="10"/>
  <c r="J672" i="10"/>
  <c r="D673" i="10"/>
  <c r="E673" i="10"/>
  <c r="F673" i="10"/>
  <c r="I673" i="10"/>
  <c r="J673" i="10"/>
  <c r="D674" i="10"/>
  <c r="E674" i="10"/>
  <c r="F674" i="10"/>
  <c r="I674" i="10"/>
  <c r="J674" i="10"/>
  <c r="D675" i="10"/>
  <c r="E675" i="10"/>
  <c r="F675" i="10"/>
  <c r="I675" i="10"/>
  <c r="J675" i="10"/>
  <c r="D676" i="10"/>
  <c r="E676" i="10"/>
  <c r="F676" i="10"/>
  <c r="I676" i="10"/>
  <c r="J676" i="10"/>
  <c r="D677" i="10"/>
  <c r="E677" i="10"/>
  <c r="F677" i="10"/>
  <c r="I677" i="10"/>
  <c r="J677" i="10"/>
  <c r="D678" i="10"/>
  <c r="E678" i="10"/>
  <c r="F678" i="10"/>
  <c r="I678" i="10"/>
  <c r="J678" i="10"/>
  <c r="D679" i="10"/>
  <c r="E679" i="10"/>
  <c r="F679" i="10"/>
  <c r="I679" i="10"/>
  <c r="J679" i="10"/>
  <c r="D680" i="10"/>
  <c r="E680" i="10"/>
  <c r="F680" i="10"/>
  <c r="I680" i="10"/>
  <c r="J680" i="10"/>
  <c r="D681" i="10"/>
  <c r="E681" i="10"/>
  <c r="F681" i="10"/>
  <c r="I681" i="10"/>
  <c r="J681" i="10"/>
  <c r="D682" i="10"/>
  <c r="E682" i="10"/>
  <c r="F682" i="10"/>
  <c r="I682" i="10"/>
  <c r="J682" i="10"/>
  <c r="D683" i="10"/>
  <c r="E683" i="10"/>
  <c r="F683" i="10"/>
  <c r="I683" i="10"/>
  <c r="D684" i="10"/>
  <c r="E684" i="10"/>
  <c r="F684" i="10"/>
  <c r="I684" i="10"/>
  <c r="J684" i="10"/>
  <c r="D685" i="10"/>
  <c r="E685" i="10"/>
  <c r="F685" i="10"/>
  <c r="I685" i="10"/>
  <c r="J685" i="10"/>
  <c r="D686" i="10"/>
  <c r="E686" i="10"/>
  <c r="F686" i="10"/>
  <c r="I686" i="10"/>
  <c r="J686" i="10"/>
  <c r="D687" i="10"/>
  <c r="E687" i="10"/>
  <c r="F687" i="10"/>
  <c r="I687" i="10"/>
  <c r="J687" i="10"/>
  <c r="D688" i="10"/>
  <c r="E688" i="10"/>
  <c r="F688" i="10"/>
  <c r="I688" i="10"/>
  <c r="J688" i="10"/>
  <c r="D689" i="10"/>
  <c r="E689" i="10"/>
  <c r="F689" i="10"/>
  <c r="I689" i="10"/>
  <c r="J689" i="10"/>
  <c r="D690" i="10"/>
  <c r="E690" i="10"/>
  <c r="F690" i="10"/>
  <c r="I690" i="10"/>
  <c r="J690" i="10"/>
  <c r="D691" i="10"/>
  <c r="E691" i="10"/>
  <c r="F691" i="10"/>
  <c r="I691" i="10"/>
  <c r="J691" i="10"/>
  <c r="D692" i="10"/>
  <c r="E692" i="10"/>
  <c r="F692" i="10"/>
  <c r="I692" i="10"/>
  <c r="D693" i="10"/>
  <c r="E693" i="10"/>
  <c r="F693" i="10"/>
  <c r="I693" i="10"/>
  <c r="J693" i="10"/>
  <c r="D694" i="10"/>
  <c r="E694" i="10"/>
  <c r="F694" i="10"/>
  <c r="I694" i="10"/>
  <c r="J694" i="10"/>
  <c r="D695" i="10"/>
  <c r="E695" i="10"/>
  <c r="F695" i="10"/>
  <c r="I695" i="10"/>
  <c r="J695" i="10"/>
  <c r="D696" i="10"/>
  <c r="E696" i="10"/>
  <c r="F696" i="10"/>
  <c r="I696" i="10"/>
  <c r="J696" i="10"/>
  <c r="D697" i="10"/>
  <c r="E697" i="10"/>
  <c r="F697" i="10"/>
  <c r="I697" i="10"/>
  <c r="J697" i="10"/>
  <c r="D698" i="10"/>
  <c r="E698" i="10"/>
  <c r="F698" i="10"/>
  <c r="I698" i="10"/>
  <c r="J698" i="10"/>
  <c r="D699" i="10"/>
  <c r="E699" i="10"/>
  <c r="F699" i="10"/>
  <c r="I699" i="10"/>
  <c r="J699" i="10"/>
  <c r="D700" i="10"/>
  <c r="E700" i="10"/>
  <c r="F700" i="10"/>
  <c r="I700" i="10"/>
  <c r="J700" i="10"/>
  <c r="D701" i="10"/>
  <c r="E701" i="10"/>
  <c r="F701" i="10"/>
  <c r="I701" i="10"/>
  <c r="J701" i="10"/>
  <c r="D702" i="10"/>
  <c r="E702" i="10"/>
  <c r="F702" i="10"/>
  <c r="I702" i="10"/>
  <c r="J702" i="10"/>
  <c r="D703" i="10"/>
  <c r="E703" i="10"/>
  <c r="F703" i="10"/>
  <c r="I703" i="10"/>
  <c r="J703" i="10"/>
  <c r="D704" i="10"/>
  <c r="E704" i="10"/>
  <c r="F704" i="10"/>
  <c r="I704" i="10"/>
  <c r="J704" i="10"/>
  <c r="D705" i="10"/>
  <c r="E705" i="10"/>
  <c r="F705" i="10"/>
  <c r="I705" i="10"/>
  <c r="J705" i="10"/>
  <c r="D706" i="10"/>
  <c r="E706" i="10"/>
  <c r="F706" i="10"/>
  <c r="I706" i="10"/>
  <c r="J706" i="10"/>
  <c r="D707" i="10"/>
  <c r="E707" i="10"/>
  <c r="F707" i="10"/>
  <c r="I707" i="10"/>
  <c r="J707" i="10"/>
  <c r="D708" i="10"/>
  <c r="E708" i="10"/>
  <c r="F708" i="10"/>
  <c r="I708" i="10"/>
  <c r="J708" i="10"/>
  <c r="D709" i="10"/>
  <c r="E709" i="10"/>
  <c r="F709" i="10"/>
  <c r="I709" i="10"/>
  <c r="J709" i="10"/>
  <c r="D710" i="10"/>
  <c r="E710" i="10"/>
  <c r="F710" i="10"/>
  <c r="I710" i="10"/>
  <c r="J710" i="10"/>
  <c r="D711" i="10"/>
  <c r="E711" i="10"/>
  <c r="F711" i="10"/>
  <c r="I711" i="10"/>
  <c r="J711" i="10"/>
  <c r="D712" i="10"/>
  <c r="E712" i="10"/>
  <c r="F712" i="10"/>
  <c r="I712" i="10"/>
  <c r="J712" i="10"/>
  <c r="D713" i="10"/>
  <c r="E713" i="10"/>
  <c r="F713" i="10"/>
  <c r="I713" i="10"/>
  <c r="J713" i="10"/>
  <c r="D714" i="10"/>
  <c r="E714" i="10"/>
  <c r="F714" i="10"/>
  <c r="I714" i="10"/>
  <c r="J714" i="10"/>
  <c r="D715" i="10"/>
  <c r="E715" i="10"/>
  <c r="F715" i="10"/>
  <c r="I715" i="10"/>
  <c r="J715" i="10"/>
  <c r="D716" i="10"/>
  <c r="E716" i="10"/>
  <c r="F716" i="10"/>
  <c r="I716" i="10"/>
  <c r="D717" i="10"/>
  <c r="E717" i="10"/>
  <c r="F717" i="10"/>
  <c r="I717" i="10"/>
  <c r="J717" i="10"/>
  <c r="D718" i="10"/>
  <c r="E718" i="10"/>
  <c r="F718" i="10"/>
  <c r="I718" i="10"/>
  <c r="J718" i="10"/>
  <c r="D719" i="10"/>
  <c r="E719" i="10"/>
  <c r="F719" i="10"/>
  <c r="I719" i="10"/>
  <c r="D720" i="10"/>
  <c r="E720" i="10"/>
  <c r="F720" i="10"/>
  <c r="I720" i="10"/>
  <c r="J720" i="10"/>
  <c r="D721" i="10"/>
  <c r="E721" i="10"/>
  <c r="F721" i="10"/>
  <c r="I721" i="10"/>
  <c r="D722" i="10"/>
  <c r="E722" i="10"/>
  <c r="F722" i="10"/>
  <c r="I722" i="10"/>
  <c r="J722" i="10"/>
  <c r="D723" i="10"/>
  <c r="E723" i="10"/>
  <c r="F723" i="10"/>
  <c r="I723" i="10"/>
  <c r="D724" i="10"/>
  <c r="E724" i="10"/>
  <c r="F724" i="10"/>
  <c r="I724" i="10"/>
  <c r="J724" i="10"/>
  <c r="D725" i="10"/>
  <c r="E725" i="10"/>
  <c r="F725" i="10"/>
  <c r="I725" i="10"/>
  <c r="J725" i="10"/>
  <c r="D726" i="10"/>
  <c r="E726" i="10"/>
  <c r="F726" i="10"/>
  <c r="I726" i="10"/>
  <c r="J726" i="10"/>
  <c r="D727" i="10"/>
  <c r="E727" i="10"/>
  <c r="F727" i="10"/>
  <c r="I727" i="10"/>
  <c r="J727" i="10"/>
  <c r="D728" i="10"/>
  <c r="E728" i="10"/>
  <c r="F728" i="10"/>
  <c r="I728" i="10"/>
  <c r="J728" i="10"/>
  <c r="D729" i="10"/>
  <c r="E729" i="10"/>
  <c r="F729" i="10"/>
  <c r="I729" i="10"/>
  <c r="J729" i="10"/>
  <c r="D730" i="10"/>
  <c r="E730" i="10"/>
  <c r="F730" i="10"/>
  <c r="I730" i="10"/>
  <c r="J730" i="10"/>
  <c r="D731" i="10"/>
  <c r="E731" i="10"/>
  <c r="F731" i="10"/>
  <c r="I731" i="10"/>
  <c r="J731" i="10"/>
  <c r="D732" i="10"/>
  <c r="E732" i="10"/>
  <c r="F732" i="10"/>
  <c r="I732" i="10"/>
  <c r="J732" i="10"/>
  <c r="D733" i="10"/>
  <c r="E733" i="10"/>
  <c r="F733" i="10"/>
  <c r="I733" i="10"/>
  <c r="J733" i="10"/>
  <c r="D734" i="10"/>
  <c r="E734" i="10"/>
  <c r="F734" i="10"/>
  <c r="I734" i="10"/>
  <c r="J734" i="10"/>
  <c r="D735" i="10"/>
  <c r="E735" i="10"/>
  <c r="F735" i="10"/>
  <c r="I735" i="10"/>
  <c r="J735" i="10"/>
  <c r="D736" i="10"/>
  <c r="E736" i="10"/>
  <c r="F736" i="10"/>
  <c r="I736" i="10"/>
  <c r="J736" i="10"/>
  <c r="D737" i="10"/>
  <c r="E737" i="10"/>
  <c r="F737" i="10"/>
  <c r="I737" i="10"/>
  <c r="J737" i="10"/>
  <c r="D738" i="10"/>
  <c r="E738" i="10"/>
  <c r="F738" i="10"/>
  <c r="I738" i="10"/>
  <c r="J738" i="10"/>
  <c r="D739" i="10"/>
  <c r="E739" i="10"/>
  <c r="F739" i="10"/>
  <c r="I739" i="10"/>
  <c r="J739" i="10"/>
  <c r="D740" i="10"/>
  <c r="E740" i="10"/>
  <c r="F740" i="10"/>
  <c r="I740" i="10"/>
  <c r="J740" i="10"/>
  <c r="D741" i="10"/>
  <c r="E741" i="10"/>
  <c r="F741" i="10"/>
  <c r="I741" i="10"/>
  <c r="J741" i="10"/>
  <c r="D742" i="10"/>
  <c r="E742" i="10"/>
  <c r="F742" i="10"/>
  <c r="I742" i="10"/>
  <c r="J742" i="10"/>
  <c r="D743" i="10"/>
  <c r="E743" i="10"/>
  <c r="F743" i="10"/>
  <c r="I743" i="10"/>
  <c r="J743" i="10"/>
  <c r="D744" i="10"/>
  <c r="E744" i="10"/>
  <c r="F744" i="10"/>
  <c r="I744" i="10"/>
  <c r="D745" i="10"/>
  <c r="E745" i="10"/>
  <c r="F745" i="10"/>
  <c r="I745" i="10"/>
  <c r="J745" i="10"/>
  <c r="D746" i="10"/>
  <c r="E746" i="10"/>
  <c r="F746" i="10"/>
  <c r="I746" i="10"/>
  <c r="J746" i="10"/>
  <c r="D747" i="10"/>
  <c r="E747" i="10"/>
  <c r="F747" i="10"/>
  <c r="I747" i="10"/>
  <c r="J747" i="10"/>
  <c r="D748" i="10"/>
  <c r="E748" i="10"/>
  <c r="F748" i="10"/>
  <c r="I748" i="10"/>
  <c r="J748" i="10"/>
  <c r="D749" i="10"/>
  <c r="E749" i="10"/>
  <c r="F749" i="10"/>
  <c r="I749" i="10"/>
  <c r="J749" i="10"/>
  <c r="D750" i="10"/>
  <c r="E750" i="10"/>
  <c r="F750" i="10"/>
  <c r="I750" i="10"/>
  <c r="J750" i="10"/>
  <c r="D751" i="10"/>
  <c r="E751" i="10"/>
  <c r="F751" i="10"/>
  <c r="I751" i="10"/>
  <c r="J751" i="10"/>
  <c r="D752" i="10"/>
  <c r="E752" i="10"/>
  <c r="F752" i="10"/>
  <c r="I752" i="10"/>
  <c r="J752" i="10"/>
  <c r="D753" i="10"/>
  <c r="E753" i="10"/>
  <c r="F753" i="10"/>
  <c r="I753" i="10"/>
  <c r="J753" i="10"/>
  <c r="D754" i="10"/>
  <c r="E754" i="10"/>
  <c r="F754" i="10"/>
  <c r="I754" i="10"/>
  <c r="J754" i="10"/>
  <c r="D755" i="10"/>
  <c r="E755" i="10"/>
  <c r="F755" i="10"/>
  <c r="I755" i="10"/>
  <c r="J755" i="10"/>
  <c r="D756" i="10"/>
  <c r="E756" i="10"/>
  <c r="F756" i="10"/>
  <c r="I756" i="10"/>
  <c r="J756" i="10"/>
  <c r="D757" i="10"/>
  <c r="E757" i="10"/>
  <c r="F757" i="10"/>
  <c r="I757" i="10"/>
  <c r="J757" i="10"/>
  <c r="D758" i="10"/>
  <c r="E758" i="10"/>
  <c r="F758" i="10"/>
  <c r="I758" i="10"/>
  <c r="J758" i="10"/>
  <c r="D759" i="10"/>
  <c r="E759" i="10"/>
  <c r="F759" i="10"/>
  <c r="I759" i="10"/>
  <c r="J759" i="10"/>
  <c r="D760" i="10"/>
  <c r="E760" i="10"/>
  <c r="F760" i="10"/>
  <c r="I760" i="10"/>
  <c r="J760" i="10"/>
  <c r="D761" i="10"/>
  <c r="E761" i="10"/>
  <c r="F761" i="10"/>
  <c r="I761" i="10"/>
  <c r="J761" i="10"/>
  <c r="D762" i="10"/>
  <c r="E762" i="10"/>
  <c r="F762" i="10"/>
  <c r="I762" i="10"/>
  <c r="J762" i="10"/>
  <c r="D763" i="10"/>
  <c r="E763" i="10"/>
  <c r="F763" i="10"/>
  <c r="I763" i="10"/>
  <c r="J763" i="10"/>
  <c r="D764" i="10"/>
  <c r="E764" i="10"/>
  <c r="F764" i="10"/>
  <c r="I764" i="10"/>
  <c r="J764" i="10"/>
  <c r="D765" i="10"/>
  <c r="E765" i="10"/>
  <c r="F765" i="10"/>
  <c r="I765" i="10"/>
  <c r="J765" i="10"/>
  <c r="D766" i="10"/>
  <c r="E766" i="10"/>
  <c r="F766" i="10"/>
  <c r="I766" i="10"/>
  <c r="J766" i="10"/>
  <c r="D767" i="10"/>
  <c r="E767" i="10"/>
  <c r="F767" i="10"/>
  <c r="I767" i="10"/>
  <c r="J767" i="10"/>
  <c r="D768" i="10"/>
  <c r="E768" i="10"/>
  <c r="F768" i="10"/>
  <c r="I768" i="10"/>
  <c r="J768" i="10"/>
  <c r="D769" i="10"/>
  <c r="E769" i="10"/>
  <c r="F769" i="10"/>
  <c r="I769" i="10"/>
  <c r="D770" i="10"/>
  <c r="E770" i="10"/>
  <c r="F770" i="10"/>
  <c r="I770" i="10"/>
  <c r="J770" i="10"/>
  <c r="D771" i="10"/>
  <c r="E771" i="10"/>
  <c r="F771" i="10"/>
  <c r="I771" i="10"/>
  <c r="J771" i="10"/>
  <c r="D772" i="10"/>
  <c r="E772" i="10"/>
  <c r="F772" i="10"/>
  <c r="I772" i="10"/>
  <c r="J772" i="10"/>
  <c r="D773" i="10"/>
  <c r="E773" i="10"/>
  <c r="F773" i="10"/>
  <c r="I773" i="10"/>
  <c r="J773" i="10"/>
  <c r="D774" i="10"/>
  <c r="E774" i="10"/>
  <c r="F774" i="10"/>
  <c r="I774" i="10"/>
  <c r="J774" i="10"/>
  <c r="D775" i="10"/>
  <c r="E775" i="10"/>
  <c r="F775" i="10"/>
  <c r="I775" i="10"/>
  <c r="D776" i="10"/>
  <c r="E776" i="10"/>
  <c r="F776" i="10"/>
  <c r="I776" i="10"/>
  <c r="J776" i="10"/>
  <c r="D777" i="10"/>
  <c r="E777" i="10"/>
  <c r="F777" i="10"/>
  <c r="I777" i="10"/>
  <c r="J777" i="10"/>
  <c r="D778" i="10"/>
  <c r="E778" i="10"/>
  <c r="F778" i="10"/>
  <c r="I778" i="10"/>
  <c r="J778" i="10"/>
  <c r="D779" i="10"/>
  <c r="E779" i="10"/>
  <c r="F779" i="10"/>
  <c r="I779" i="10"/>
  <c r="J779" i="10"/>
  <c r="D780" i="10"/>
  <c r="E780" i="10"/>
  <c r="F780" i="10"/>
  <c r="I780" i="10"/>
  <c r="J780" i="10"/>
  <c r="D781" i="10"/>
  <c r="E781" i="10"/>
  <c r="F781" i="10"/>
  <c r="I781" i="10"/>
  <c r="J781" i="10"/>
  <c r="D782" i="10"/>
  <c r="E782" i="10"/>
  <c r="F782" i="10"/>
  <c r="I782" i="10"/>
  <c r="J782" i="10"/>
  <c r="D783" i="10"/>
  <c r="E783" i="10"/>
  <c r="F783" i="10"/>
  <c r="I783" i="10"/>
  <c r="J783" i="10"/>
  <c r="D784" i="10"/>
  <c r="E784" i="10"/>
  <c r="F784" i="10"/>
  <c r="I784" i="10"/>
  <c r="J784" i="10"/>
  <c r="D785" i="10"/>
  <c r="E785" i="10"/>
  <c r="F785" i="10"/>
  <c r="I785" i="10"/>
  <c r="J785" i="10"/>
  <c r="D786" i="10"/>
  <c r="E786" i="10"/>
  <c r="F786" i="10"/>
  <c r="I786" i="10"/>
  <c r="J786" i="10"/>
  <c r="D787" i="10"/>
  <c r="E787" i="10"/>
  <c r="F787" i="10"/>
  <c r="I787" i="10"/>
  <c r="J787" i="10"/>
  <c r="D788" i="10"/>
  <c r="E788" i="10"/>
  <c r="F788" i="10"/>
  <c r="I788" i="10"/>
  <c r="J788" i="10"/>
  <c r="D789" i="10"/>
  <c r="E789" i="10"/>
  <c r="F789" i="10"/>
  <c r="I789" i="10"/>
  <c r="J789" i="10"/>
  <c r="D790" i="10"/>
  <c r="E790" i="10"/>
  <c r="F790" i="10"/>
  <c r="I790" i="10"/>
  <c r="J790" i="10"/>
  <c r="D791" i="10"/>
  <c r="E791" i="10"/>
  <c r="F791" i="10"/>
  <c r="I791" i="10"/>
  <c r="J791" i="10"/>
  <c r="D792" i="10"/>
  <c r="E792" i="10"/>
  <c r="F792" i="10"/>
  <c r="I792" i="10"/>
  <c r="J792" i="10"/>
  <c r="D793" i="10"/>
  <c r="E793" i="10"/>
  <c r="F793" i="10"/>
  <c r="I793" i="10"/>
  <c r="J793" i="10"/>
  <c r="D794" i="10"/>
  <c r="E794" i="10"/>
  <c r="F794" i="10"/>
  <c r="I794" i="10"/>
  <c r="J794" i="10"/>
  <c r="D795" i="10"/>
  <c r="E795" i="10"/>
  <c r="F795" i="10"/>
  <c r="I795" i="10"/>
  <c r="D796" i="10"/>
  <c r="E796" i="10"/>
  <c r="F796" i="10"/>
  <c r="I796" i="10"/>
  <c r="J796" i="10"/>
  <c r="D797" i="10"/>
  <c r="E797" i="10"/>
  <c r="F797" i="10"/>
  <c r="I797" i="10"/>
  <c r="J797" i="10"/>
  <c r="D798" i="10"/>
  <c r="E798" i="10"/>
  <c r="F798" i="10"/>
  <c r="I798" i="10"/>
  <c r="J798" i="10"/>
  <c r="D799" i="10"/>
  <c r="E799" i="10"/>
  <c r="F799" i="10"/>
  <c r="I799" i="10"/>
  <c r="J799" i="10"/>
  <c r="D800" i="10"/>
  <c r="E800" i="10"/>
  <c r="F800" i="10"/>
  <c r="I800" i="10"/>
  <c r="J800" i="10"/>
  <c r="D801" i="10"/>
  <c r="E801" i="10"/>
  <c r="F801" i="10"/>
  <c r="I801" i="10"/>
  <c r="D802" i="10"/>
  <c r="E802" i="10"/>
  <c r="F802" i="10"/>
  <c r="I802" i="10"/>
  <c r="J802" i="10"/>
  <c r="D803" i="10"/>
  <c r="E803" i="10"/>
  <c r="F803" i="10"/>
  <c r="I803" i="10"/>
  <c r="J803" i="10"/>
  <c r="D804" i="10"/>
  <c r="E804" i="10"/>
  <c r="F804" i="10"/>
  <c r="I804" i="10"/>
  <c r="D805" i="10"/>
  <c r="E805" i="10"/>
  <c r="F805" i="10"/>
  <c r="I805" i="10"/>
  <c r="J805" i="10"/>
  <c r="D806" i="10"/>
  <c r="E806" i="10"/>
  <c r="F806" i="10"/>
  <c r="I806" i="10"/>
  <c r="D807" i="10"/>
  <c r="E807" i="10"/>
  <c r="F807" i="10"/>
  <c r="I807" i="10"/>
  <c r="J807" i="10"/>
  <c r="D808" i="10"/>
  <c r="E808" i="10"/>
  <c r="F808" i="10"/>
  <c r="I808" i="10"/>
  <c r="J808" i="10"/>
  <c r="D809" i="10"/>
  <c r="E809" i="10"/>
  <c r="F809" i="10"/>
  <c r="I809" i="10"/>
  <c r="J809" i="10"/>
  <c r="D810" i="10"/>
  <c r="E810" i="10"/>
  <c r="F810" i="10"/>
  <c r="I810" i="10"/>
  <c r="J810" i="10"/>
  <c r="D811" i="10"/>
  <c r="E811" i="10"/>
  <c r="F811" i="10"/>
  <c r="I811" i="10"/>
  <c r="J811" i="10"/>
  <c r="D812" i="10"/>
  <c r="E812" i="10"/>
  <c r="F812" i="10"/>
  <c r="I812" i="10"/>
  <c r="J812" i="10"/>
  <c r="D813" i="10"/>
  <c r="E813" i="10"/>
  <c r="F813" i="10"/>
  <c r="I813" i="10"/>
  <c r="J813" i="10"/>
  <c r="D814" i="10"/>
  <c r="E814" i="10"/>
  <c r="F814" i="10"/>
  <c r="I814" i="10"/>
  <c r="J814" i="10"/>
  <c r="D815" i="10"/>
  <c r="E815" i="10"/>
  <c r="F815" i="10"/>
  <c r="I815" i="10"/>
  <c r="J815" i="10"/>
  <c r="D816" i="10"/>
  <c r="E816" i="10"/>
  <c r="F816" i="10"/>
  <c r="I816" i="10"/>
  <c r="J816" i="10"/>
  <c r="D817" i="10"/>
  <c r="E817" i="10"/>
  <c r="F817" i="10"/>
  <c r="I817" i="10"/>
  <c r="J817" i="10"/>
  <c r="D818" i="10"/>
  <c r="E818" i="10"/>
  <c r="F818" i="10"/>
  <c r="I818" i="10"/>
  <c r="J818" i="10"/>
  <c r="D819" i="10"/>
  <c r="E819" i="10"/>
  <c r="F819" i="10"/>
  <c r="I819" i="10"/>
  <c r="D820" i="10"/>
  <c r="E820" i="10"/>
  <c r="F820" i="10"/>
  <c r="I820" i="10"/>
  <c r="J820" i="10"/>
  <c r="D821" i="10"/>
  <c r="E821" i="10"/>
  <c r="F821" i="10"/>
  <c r="I821" i="10"/>
  <c r="J821" i="10"/>
  <c r="D822" i="10"/>
  <c r="E822" i="10"/>
  <c r="F822" i="10"/>
  <c r="I822" i="10"/>
  <c r="J822" i="10"/>
  <c r="D823" i="10"/>
  <c r="E823" i="10"/>
  <c r="F823" i="10"/>
  <c r="I823" i="10"/>
  <c r="D824" i="10"/>
  <c r="E824" i="10"/>
  <c r="F824" i="10"/>
  <c r="I824" i="10"/>
  <c r="J824" i="10"/>
  <c r="D825" i="10"/>
  <c r="E825" i="10"/>
  <c r="F825" i="10"/>
  <c r="I825" i="10"/>
  <c r="J825" i="10"/>
  <c r="D826" i="10"/>
  <c r="E826" i="10"/>
  <c r="F826" i="10"/>
  <c r="I826" i="10"/>
  <c r="J826" i="10"/>
  <c r="D827" i="10"/>
  <c r="E827" i="10"/>
  <c r="F827" i="10"/>
  <c r="I827" i="10"/>
  <c r="J827" i="10"/>
  <c r="D828" i="10"/>
  <c r="E828" i="10"/>
  <c r="F828" i="10"/>
  <c r="I828" i="10"/>
  <c r="J828" i="10"/>
  <c r="D829" i="10"/>
  <c r="E829" i="10"/>
  <c r="F829" i="10"/>
  <c r="I829" i="10"/>
  <c r="J829" i="10"/>
  <c r="D830" i="10"/>
  <c r="E830" i="10"/>
  <c r="F830" i="10"/>
  <c r="I830" i="10"/>
  <c r="J830" i="10"/>
  <c r="D831" i="10"/>
  <c r="E831" i="10"/>
  <c r="F831" i="10"/>
  <c r="I831" i="10"/>
  <c r="J831" i="10"/>
  <c r="D832" i="10"/>
  <c r="E832" i="10"/>
  <c r="F832" i="10"/>
  <c r="I832" i="10"/>
  <c r="J832" i="10"/>
  <c r="D833" i="10"/>
  <c r="E833" i="10"/>
  <c r="F833" i="10"/>
  <c r="I833" i="10"/>
  <c r="J833" i="10"/>
  <c r="D834" i="10"/>
  <c r="E834" i="10"/>
  <c r="F834" i="10"/>
  <c r="I834" i="10"/>
  <c r="J834" i="10"/>
  <c r="D835" i="10"/>
  <c r="E835" i="10"/>
  <c r="F835" i="10"/>
  <c r="I835" i="10"/>
  <c r="D836" i="10"/>
  <c r="E836" i="10"/>
  <c r="F836" i="10"/>
  <c r="I836" i="10"/>
  <c r="J836" i="10"/>
  <c r="D837" i="10"/>
  <c r="E837" i="10"/>
  <c r="F837" i="10"/>
  <c r="I837" i="10"/>
  <c r="J837" i="10"/>
  <c r="D838" i="10"/>
  <c r="E838" i="10"/>
  <c r="F838" i="10"/>
  <c r="I838" i="10"/>
  <c r="J838" i="10"/>
  <c r="D839" i="10"/>
  <c r="E839" i="10"/>
  <c r="F839" i="10"/>
  <c r="I839" i="10"/>
  <c r="J839" i="10"/>
  <c r="D840" i="10"/>
  <c r="E840" i="10"/>
  <c r="F840" i="10"/>
  <c r="I840" i="10"/>
  <c r="D841" i="10"/>
  <c r="E841" i="10"/>
  <c r="F841" i="10"/>
  <c r="I841" i="10"/>
  <c r="J841" i="10"/>
  <c r="D842" i="10"/>
  <c r="E842" i="10"/>
  <c r="F842" i="10"/>
  <c r="I842" i="10"/>
  <c r="J842" i="10"/>
  <c r="D843" i="10"/>
  <c r="E843" i="10"/>
  <c r="F843" i="10"/>
  <c r="I843" i="10"/>
  <c r="J843" i="10"/>
  <c r="D844" i="10"/>
  <c r="E844" i="10"/>
  <c r="F844" i="10"/>
  <c r="I844" i="10"/>
  <c r="J844" i="10"/>
  <c r="D845" i="10"/>
  <c r="E845" i="10"/>
  <c r="F845" i="10"/>
  <c r="I845" i="10"/>
  <c r="J845" i="10"/>
  <c r="D846" i="10"/>
  <c r="E846" i="10"/>
  <c r="F846" i="10"/>
  <c r="I846" i="10"/>
  <c r="J846" i="10"/>
  <c r="D847" i="10"/>
  <c r="E847" i="10"/>
  <c r="F847" i="10"/>
  <c r="I847" i="10"/>
  <c r="J847" i="10"/>
  <c r="D848" i="10"/>
  <c r="E848" i="10"/>
  <c r="F848" i="10"/>
  <c r="I848" i="10"/>
  <c r="J848" i="10"/>
  <c r="D849" i="10"/>
  <c r="E849" i="10"/>
  <c r="F849" i="10"/>
  <c r="I849" i="10"/>
  <c r="J849" i="10"/>
  <c r="D850" i="10"/>
  <c r="E850" i="10"/>
  <c r="F850" i="10"/>
  <c r="I850" i="10"/>
  <c r="J850" i="10"/>
  <c r="D851" i="10"/>
  <c r="E851" i="10"/>
  <c r="F851" i="10"/>
  <c r="I851" i="10"/>
  <c r="J851" i="10"/>
  <c r="D852" i="10"/>
  <c r="E852" i="10"/>
  <c r="F852" i="10"/>
  <c r="I852" i="10"/>
  <c r="J852" i="10"/>
  <c r="D853" i="10"/>
  <c r="E853" i="10"/>
  <c r="F853" i="10"/>
  <c r="I853" i="10"/>
  <c r="J853" i="10"/>
  <c r="D854" i="10"/>
  <c r="E854" i="10"/>
  <c r="F854" i="10"/>
  <c r="I854" i="10"/>
  <c r="J854" i="10"/>
  <c r="D855" i="10"/>
  <c r="E855" i="10"/>
  <c r="F855" i="10"/>
  <c r="I855" i="10"/>
  <c r="J855" i="10"/>
  <c r="D856" i="10"/>
  <c r="E856" i="10"/>
  <c r="F856" i="10"/>
  <c r="I856" i="10"/>
  <c r="J856" i="10"/>
  <c r="D857" i="10"/>
  <c r="E857" i="10"/>
  <c r="F857" i="10"/>
  <c r="I857" i="10"/>
  <c r="J857" i="10"/>
  <c r="D858" i="10"/>
  <c r="E858" i="10"/>
  <c r="F858" i="10"/>
  <c r="I858" i="10"/>
  <c r="D859" i="10"/>
  <c r="E859" i="10"/>
  <c r="F859" i="10"/>
  <c r="I859" i="10"/>
  <c r="D860" i="10"/>
  <c r="E860" i="10"/>
  <c r="F860" i="10"/>
  <c r="I860" i="10"/>
  <c r="J860" i="10"/>
  <c r="D861" i="10"/>
  <c r="E861" i="10"/>
  <c r="F861" i="10"/>
  <c r="I861" i="10"/>
  <c r="J861" i="10"/>
  <c r="D862" i="10"/>
  <c r="E862" i="10"/>
  <c r="F862" i="10"/>
  <c r="I862" i="10"/>
  <c r="J862" i="10"/>
  <c r="D863" i="10"/>
  <c r="E863" i="10"/>
  <c r="F863" i="10"/>
  <c r="I863" i="10"/>
  <c r="J863" i="10"/>
  <c r="D864" i="10"/>
  <c r="E864" i="10"/>
  <c r="F864" i="10"/>
  <c r="I864" i="10"/>
  <c r="J864" i="10"/>
  <c r="D865" i="10"/>
  <c r="E865" i="10"/>
  <c r="F865" i="10"/>
  <c r="I865" i="10"/>
  <c r="D866" i="10"/>
  <c r="E866" i="10"/>
  <c r="F866" i="10"/>
  <c r="I866" i="10"/>
  <c r="J866" i="10"/>
  <c r="D867" i="10"/>
  <c r="E867" i="10"/>
  <c r="F867" i="10"/>
  <c r="I867" i="10"/>
  <c r="J867" i="10"/>
  <c r="D868" i="10"/>
  <c r="E868" i="10"/>
  <c r="F868" i="10"/>
  <c r="I868" i="10"/>
  <c r="J868" i="10"/>
  <c r="D869" i="10"/>
  <c r="E869" i="10"/>
  <c r="F869" i="10"/>
  <c r="I869" i="10"/>
  <c r="J869" i="10"/>
  <c r="D870" i="10"/>
  <c r="E870" i="10"/>
  <c r="F870" i="10"/>
  <c r="I870" i="10"/>
  <c r="D871" i="10"/>
  <c r="E871" i="10"/>
  <c r="F871" i="10"/>
  <c r="I871" i="10"/>
  <c r="J871" i="10"/>
  <c r="D872" i="10"/>
  <c r="E872" i="10"/>
  <c r="F872" i="10"/>
  <c r="I872" i="10"/>
  <c r="J872" i="10"/>
  <c r="D873" i="10"/>
  <c r="E873" i="10"/>
  <c r="F873" i="10"/>
  <c r="I873" i="10"/>
  <c r="J873" i="10"/>
  <c r="D874" i="10"/>
  <c r="E874" i="10"/>
  <c r="F874" i="10"/>
  <c r="I874" i="10"/>
  <c r="J874" i="10"/>
  <c r="D875" i="10"/>
  <c r="E875" i="10"/>
  <c r="F875" i="10"/>
  <c r="I875" i="10"/>
  <c r="D876" i="10"/>
  <c r="E876" i="10"/>
  <c r="F876" i="10"/>
  <c r="I876" i="10"/>
  <c r="J876" i="10"/>
  <c r="D877" i="10"/>
  <c r="E877" i="10"/>
  <c r="F877" i="10"/>
  <c r="I877" i="10"/>
  <c r="J877" i="10"/>
  <c r="D878" i="10"/>
  <c r="E878" i="10"/>
  <c r="F878" i="10"/>
  <c r="I878" i="10"/>
  <c r="J878" i="10"/>
  <c r="D879" i="10"/>
  <c r="E879" i="10"/>
  <c r="F879" i="10"/>
  <c r="I879" i="10"/>
  <c r="D880" i="10"/>
  <c r="E880" i="10"/>
  <c r="F880" i="10"/>
  <c r="I880" i="10"/>
  <c r="J880" i="10"/>
  <c r="D881" i="10"/>
  <c r="E881" i="10"/>
  <c r="F881" i="10"/>
  <c r="I881" i="10"/>
  <c r="J881" i="10"/>
  <c r="D882" i="10"/>
  <c r="E882" i="10"/>
  <c r="F882" i="10"/>
  <c r="I882" i="10"/>
  <c r="J882" i="10"/>
  <c r="D883" i="10"/>
  <c r="E883" i="10"/>
  <c r="F883" i="10"/>
  <c r="I883" i="10"/>
  <c r="J883" i="10"/>
  <c r="D884" i="10"/>
  <c r="E884" i="10"/>
  <c r="F884" i="10"/>
  <c r="I884" i="10"/>
  <c r="J884" i="10"/>
  <c r="D885" i="10"/>
  <c r="E885" i="10"/>
  <c r="F885" i="10"/>
  <c r="I885" i="10"/>
  <c r="J885" i="10"/>
  <c r="D886" i="10"/>
  <c r="E886" i="10"/>
  <c r="F886" i="10"/>
  <c r="I886" i="10"/>
  <c r="J886" i="10"/>
  <c r="D887" i="10"/>
  <c r="E887" i="10"/>
  <c r="F887" i="10"/>
  <c r="I887" i="10"/>
  <c r="J887" i="10"/>
  <c r="D888" i="10"/>
  <c r="E888" i="10"/>
  <c r="F888" i="10"/>
  <c r="I888" i="10"/>
  <c r="J888" i="10"/>
  <c r="D889" i="10"/>
  <c r="E889" i="10"/>
  <c r="F889" i="10"/>
  <c r="I889" i="10"/>
  <c r="J889" i="10"/>
  <c r="D890" i="10"/>
  <c r="E890" i="10"/>
  <c r="F890" i="10"/>
  <c r="I890" i="10"/>
  <c r="J890" i="10"/>
  <c r="D891" i="10"/>
  <c r="E891" i="10"/>
  <c r="F891" i="10"/>
  <c r="I891" i="10"/>
  <c r="J891" i="10"/>
  <c r="D892" i="10"/>
  <c r="E892" i="10"/>
  <c r="F892" i="10"/>
  <c r="I892" i="10"/>
  <c r="J892" i="10"/>
  <c r="D893" i="10"/>
  <c r="E893" i="10"/>
  <c r="F893" i="10"/>
  <c r="I893" i="10"/>
  <c r="J893" i="10"/>
  <c r="D894" i="10"/>
  <c r="E894" i="10"/>
  <c r="F894" i="10"/>
  <c r="I894" i="10"/>
  <c r="J894" i="10"/>
  <c r="D895" i="10"/>
  <c r="E895" i="10"/>
  <c r="F895" i="10"/>
  <c r="I895" i="10"/>
  <c r="J895" i="10"/>
  <c r="D896" i="10"/>
  <c r="E896" i="10"/>
  <c r="F896" i="10"/>
  <c r="I896" i="10"/>
  <c r="J896" i="10"/>
  <c r="D897" i="10"/>
  <c r="E897" i="10"/>
  <c r="F897" i="10"/>
  <c r="I897" i="10"/>
  <c r="J897" i="10"/>
  <c r="D898" i="10"/>
  <c r="E898" i="10"/>
  <c r="F898" i="10"/>
  <c r="I898" i="10"/>
  <c r="J898" i="10"/>
  <c r="D899" i="10"/>
  <c r="E899" i="10"/>
  <c r="F899" i="10"/>
  <c r="I899" i="10"/>
  <c r="J899" i="10"/>
  <c r="D900" i="10"/>
  <c r="E900" i="10"/>
  <c r="F900" i="10"/>
  <c r="I900" i="10"/>
  <c r="J900" i="10"/>
  <c r="D901" i="10"/>
  <c r="E901" i="10"/>
  <c r="F901" i="10"/>
  <c r="I901" i="10"/>
  <c r="J901" i="10"/>
  <c r="D902" i="10"/>
  <c r="E902" i="10"/>
  <c r="F902" i="10"/>
  <c r="I902" i="10"/>
  <c r="J902" i="10"/>
  <c r="D903" i="10"/>
  <c r="E903" i="10"/>
  <c r="F903" i="10"/>
  <c r="I903" i="10"/>
  <c r="J903" i="10"/>
  <c r="D904" i="10"/>
  <c r="E904" i="10"/>
  <c r="F904" i="10"/>
  <c r="I904" i="10"/>
  <c r="J904" i="10"/>
  <c r="D905" i="10"/>
  <c r="E905" i="10"/>
  <c r="F905" i="10"/>
  <c r="I905" i="10"/>
  <c r="J905" i="10"/>
  <c r="D906" i="10"/>
  <c r="E906" i="10"/>
  <c r="F906" i="10"/>
  <c r="I906" i="10"/>
  <c r="J906" i="10"/>
  <c r="D907" i="10"/>
  <c r="E907" i="10"/>
  <c r="F907" i="10"/>
  <c r="I907" i="10"/>
  <c r="J907" i="10"/>
  <c r="D908" i="10"/>
  <c r="E908" i="10"/>
  <c r="F908" i="10"/>
  <c r="I908" i="10"/>
  <c r="J908" i="10"/>
  <c r="D909" i="10"/>
  <c r="E909" i="10"/>
  <c r="F909" i="10"/>
  <c r="I909" i="10"/>
  <c r="J909" i="10"/>
  <c r="D910" i="10"/>
  <c r="E910" i="10"/>
  <c r="F910" i="10"/>
  <c r="I910" i="10"/>
  <c r="J910" i="10"/>
  <c r="D911" i="10"/>
  <c r="E911" i="10"/>
  <c r="F911" i="10"/>
  <c r="I911" i="10"/>
  <c r="J911" i="10"/>
  <c r="D912" i="10"/>
  <c r="E912" i="10"/>
  <c r="F912" i="10"/>
  <c r="I912" i="10"/>
  <c r="J912" i="10"/>
  <c r="D913" i="10"/>
  <c r="E913" i="10"/>
  <c r="F913" i="10"/>
  <c r="I913" i="10"/>
  <c r="J913" i="10"/>
  <c r="D914" i="10"/>
  <c r="E914" i="10"/>
  <c r="F914" i="10"/>
  <c r="I914" i="10"/>
  <c r="J914" i="10"/>
  <c r="D915" i="10"/>
  <c r="E915" i="10"/>
  <c r="F915" i="10"/>
  <c r="I915" i="10"/>
  <c r="J915" i="10"/>
  <c r="D916" i="10"/>
  <c r="E916" i="10"/>
  <c r="F916" i="10"/>
  <c r="I916" i="10"/>
  <c r="D917" i="10"/>
  <c r="E917" i="10"/>
  <c r="F917" i="10"/>
  <c r="I917" i="10"/>
  <c r="J917" i="10"/>
  <c r="D918" i="10"/>
  <c r="E918" i="10"/>
  <c r="F918" i="10"/>
  <c r="I918" i="10"/>
  <c r="J918" i="10"/>
  <c r="D919" i="10"/>
  <c r="E919" i="10"/>
  <c r="F919" i="10"/>
  <c r="I919" i="10"/>
  <c r="J919" i="10"/>
  <c r="D920" i="10"/>
  <c r="E920" i="10"/>
  <c r="F920" i="10"/>
  <c r="I920" i="10"/>
  <c r="J920" i="10"/>
  <c r="D921" i="10"/>
  <c r="E921" i="10"/>
  <c r="F921" i="10"/>
  <c r="I921" i="10"/>
  <c r="J921" i="10"/>
  <c r="D922" i="10"/>
  <c r="E922" i="10"/>
  <c r="F922" i="10"/>
  <c r="I922" i="10"/>
  <c r="J922" i="10"/>
  <c r="D923" i="10"/>
  <c r="E923" i="10"/>
  <c r="F923" i="10"/>
  <c r="I923" i="10"/>
  <c r="J923" i="10"/>
  <c r="D924" i="10"/>
  <c r="E924" i="10"/>
  <c r="F924" i="10"/>
  <c r="I924" i="10"/>
  <c r="J924" i="10"/>
  <c r="D925" i="10"/>
  <c r="E925" i="10"/>
  <c r="F925" i="10"/>
  <c r="I925" i="10"/>
  <c r="J925" i="10"/>
  <c r="D926" i="10"/>
  <c r="E926" i="10"/>
  <c r="F926" i="10"/>
  <c r="I926" i="10"/>
  <c r="J926" i="10"/>
  <c r="D927" i="10"/>
  <c r="E927" i="10"/>
  <c r="F927" i="10"/>
  <c r="I927" i="10"/>
  <c r="J927" i="10"/>
  <c r="D928" i="10"/>
  <c r="E928" i="10"/>
  <c r="F928" i="10"/>
  <c r="I928" i="10"/>
  <c r="J928" i="10"/>
  <c r="D929" i="10"/>
  <c r="E929" i="10"/>
  <c r="F929" i="10"/>
  <c r="I929" i="10"/>
  <c r="J929" i="10"/>
  <c r="D930" i="10"/>
  <c r="E930" i="10"/>
  <c r="F930" i="10"/>
  <c r="I930" i="10"/>
  <c r="D931" i="10"/>
  <c r="E931" i="10"/>
  <c r="F931" i="10"/>
  <c r="I931" i="10"/>
  <c r="J931" i="10"/>
  <c r="D932" i="10"/>
  <c r="E932" i="10"/>
  <c r="F932" i="10"/>
  <c r="I932" i="10"/>
  <c r="J932" i="10"/>
  <c r="D933" i="10"/>
  <c r="E933" i="10"/>
  <c r="F933" i="10"/>
  <c r="I933" i="10"/>
  <c r="J933" i="10"/>
  <c r="D934" i="10"/>
  <c r="E934" i="10"/>
  <c r="F934" i="10"/>
  <c r="I934" i="10"/>
  <c r="J934" i="10"/>
  <c r="D935" i="10"/>
  <c r="E935" i="10"/>
  <c r="F935" i="10"/>
  <c r="I935" i="10"/>
  <c r="J935" i="10"/>
  <c r="D936" i="10"/>
  <c r="E936" i="10"/>
  <c r="F936" i="10"/>
  <c r="I936" i="10"/>
  <c r="J936" i="10"/>
  <c r="D937" i="10"/>
  <c r="E937" i="10"/>
  <c r="F937" i="10"/>
  <c r="I937" i="10"/>
  <c r="J937" i="10"/>
  <c r="D938" i="10"/>
  <c r="E938" i="10"/>
  <c r="F938" i="10"/>
  <c r="I938" i="10"/>
  <c r="J938" i="10"/>
  <c r="D939" i="10"/>
  <c r="E939" i="10"/>
  <c r="F939" i="10"/>
  <c r="I939" i="10"/>
  <c r="J939" i="10"/>
  <c r="D940" i="10"/>
  <c r="E940" i="10"/>
  <c r="F940" i="10"/>
  <c r="I940" i="10"/>
  <c r="J940" i="10"/>
  <c r="D941" i="10"/>
  <c r="E941" i="10"/>
  <c r="F941" i="10"/>
  <c r="I941" i="10"/>
  <c r="J941" i="10"/>
  <c r="D942" i="10"/>
  <c r="E942" i="10"/>
  <c r="F942" i="10"/>
  <c r="I942" i="10"/>
  <c r="J942" i="10"/>
  <c r="D943" i="10"/>
  <c r="E943" i="10"/>
  <c r="F943" i="10"/>
  <c r="I943" i="10"/>
  <c r="J943" i="10"/>
  <c r="D944" i="10"/>
  <c r="E944" i="10"/>
  <c r="F944" i="10"/>
  <c r="I944" i="10"/>
  <c r="D945" i="10"/>
  <c r="E945" i="10"/>
  <c r="F945" i="10"/>
  <c r="I945" i="10"/>
  <c r="J945" i="10"/>
  <c r="D946" i="10"/>
  <c r="E946" i="10"/>
  <c r="F946" i="10"/>
  <c r="I946" i="10"/>
  <c r="J946" i="10"/>
  <c r="D947" i="10"/>
  <c r="E947" i="10"/>
  <c r="F947" i="10"/>
  <c r="I947" i="10"/>
  <c r="J947" i="10"/>
  <c r="D948" i="10"/>
  <c r="E948" i="10"/>
  <c r="F948" i="10"/>
  <c r="I948" i="10"/>
  <c r="J948" i="10"/>
  <c r="D949" i="10"/>
  <c r="E949" i="10"/>
  <c r="F949" i="10"/>
  <c r="I949" i="10"/>
  <c r="J949" i="10"/>
  <c r="D950" i="10"/>
  <c r="E950" i="10"/>
  <c r="F950" i="10"/>
  <c r="I950" i="10"/>
  <c r="J950" i="10"/>
  <c r="D951" i="10"/>
  <c r="E951" i="10"/>
  <c r="F951" i="10"/>
  <c r="I951" i="10"/>
  <c r="J951" i="10"/>
  <c r="D952" i="10"/>
  <c r="E952" i="10"/>
  <c r="F952" i="10"/>
  <c r="I952" i="10"/>
  <c r="J952" i="10"/>
  <c r="D953" i="10"/>
  <c r="E953" i="10"/>
  <c r="F953" i="10"/>
  <c r="I953" i="10"/>
  <c r="J953" i="10"/>
  <c r="D954" i="10"/>
  <c r="E954" i="10"/>
  <c r="F954" i="10"/>
  <c r="I954" i="10"/>
  <c r="J954" i="10"/>
  <c r="D955" i="10"/>
  <c r="E955" i="10"/>
  <c r="F955" i="10"/>
  <c r="I955" i="10"/>
  <c r="J955" i="10"/>
  <c r="D956" i="10"/>
  <c r="E956" i="10"/>
  <c r="F956" i="10"/>
  <c r="I956" i="10"/>
  <c r="J956" i="10"/>
  <c r="D957" i="10"/>
  <c r="E957" i="10"/>
  <c r="F957" i="10"/>
  <c r="I957" i="10"/>
  <c r="J957" i="10"/>
  <c r="D958" i="10"/>
  <c r="E958" i="10"/>
  <c r="F958" i="10"/>
  <c r="I958" i="10"/>
  <c r="J958" i="10"/>
  <c r="D959" i="10"/>
  <c r="E959" i="10"/>
  <c r="F959" i="10"/>
  <c r="I959" i="10"/>
  <c r="J959" i="10"/>
  <c r="D960" i="10"/>
  <c r="E960" i="10"/>
  <c r="F960" i="10"/>
  <c r="I960" i="10"/>
  <c r="J960" i="10"/>
  <c r="D961" i="10"/>
  <c r="E961" i="10"/>
  <c r="F961" i="10"/>
  <c r="I961" i="10"/>
  <c r="J961" i="10"/>
  <c r="D962" i="10"/>
  <c r="E962" i="10"/>
  <c r="F962" i="10"/>
  <c r="I962" i="10"/>
  <c r="J962" i="10"/>
  <c r="D963" i="10"/>
  <c r="E963" i="10"/>
  <c r="F963" i="10"/>
  <c r="I963" i="10"/>
  <c r="J963" i="10"/>
  <c r="D964" i="10"/>
  <c r="E964" i="10"/>
  <c r="F964" i="10"/>
  <c r="I964" i="10"/>
  <c r="J964" i="10"/>
  <c r="D965" i="10"/>
  <c r="E965" i="10"/>
  <c r="F965" i="10"/>
  <c r="I965" i="10"/>
  <c r="J965" i="10"/>
  <c r="D966" i="10"/>
  <c r="E966" i="10"/>
  <c r="F966" i="10"/>
  <c r="I966" i="10"/>
  <c r="J966" i="10"/>
  <c r="D967" i="10"/>
  <c r="E967" i="10"/>
  <c r="F967" i="10"/>
  <c r="I967" i="10"/>
  <c r="J967" i="10"/>
  <c r="D968" i="10"/>
  <c r="E968" i="10"/>
  <c r="F968" i="10"/>
  <c r="I968" i="10"/>
  <c r="J968" i="10"/>
  <c r="D969" i="10"/>
  <c r="E969" i="10"/>
  <c r="F969" i="10"/>
  <c r="I969" i="10"/>
  <c r="J969" i="10"/>
  <c r="D970" i="10"/>
  <c r="E970" i="10"/>
  <c r="F970" i="10"/>
  <c r="I970" i="10"/>
  <c r="J970" i="10"/>
  <c r="D971" i="10"/>
  <c r="E971" i="10"/>
  <c r="F971" i="10"/>
  <c r="I971" i="10"/>
  <c r="J971" i="10"/>
  <c r="D972" i="10"/>
  <c r="E972" i="10"/>
  <c r="F972" i="10"/>
  <c r="I972" i="10"/>
  <c r="D973" i="10"/>
  <c r="E973" i="10"/>
  <c r="F973" i="10"/>
  <c r="I973" i="10"/>
  <c r="J973" i="10"/>
  <c r="D974" i="10"/>
  <c r="E974" i="10"/>
  <c r="F974" i="10"/>
  <c r="I974" i="10"/>
  <c r="D975" i="10"/>
  <c r="E975" i="10"/>
  <c r="F975" i="10"/>
  <c r="I975" i="10"/>
  <c r="J975" i="10"/>
  <c r="D976" i="10"/>
  <c r="E976" i="10"/>
  <c r="F976" i="10"/>
  <c r="I976" i="10"/>
  <c r="J976" i="10"/>
  <c r="D977" i="10"/>
  <c r="E977" i="10"/>
  <c r="F977" i="10"/>
  <c r="I977" i="10"/>
  <c r="D978" i="10"/>
  <c r="E978" i="10"/>
  <c r="F978" i="10"/>
  <c r="I978" i="10"/>
  <c r="J978" i="10"/>
  <c r="D979" i="10"/>
  <c r="E979" i="10"/>
  <c r="F979" i="10"/>
  <c r="I979" i="10"/>
  <c r="J979" i="10"/>
  <c r="D980" i="10"/>
  <c r="E980" i="10"/>
  <c r="F980" i="10"/>
  <c r="I980" i="10"/>
  <c r="J980" i="10"/>
  <c r="D981" i="10"/>
  <c r="E981" i="10"/>
  <c r="F981" i="10"/>
  <c r="I981" i="10"/>
  <c r="J981" i="10"/>
  <c r="D982" i="10"/>
  <c r="E982" i="10"/>
  <c r="F982" i="10"/>
  <c r="I982" i="10"/>
  <c r="D983" i="10"/>
  <c r="E983" i="10"/>
  <c r="F983" i="10"/>
  <c r="I983" i="10"/>
  <c r="J983" i="10"/>
  <c r="D984" i="10"/>
  <c r="E984" i="10"/>
  <c r="F984" i="10"/>
  <c r="I984" i="10"/>
  <c r="J984" i="10"/>
  <c r="D985" i="10"/>
  <c r="E985" i="10"/>
  <c r="F985" i="10"/>
  <c r="I985" i="10"/>
  <c r="J985" i="10"/>
  <c r="D986" i="10"/>
  <c r="E986" i="10"/>
  <c r="F986" i="10"/>
  <c r="I986" i="10"/>
  <c r="J986" i="10"/>
  <c r="D987" i="10"/>
  <c r="E987" i="10"/>
  <c r="F987" i="10"/>
  <c r="I987" i="10"/>
  <c r="J987" i="10"/>
  <c r="D988" i="10"/>
  <c r="E988" i="10"/>
  <c r="F988" i="10"/>
  <c r="I988" i="10"/>
  <c r="J988" i="10"/>
  <c r="D989" i="10"/>
  <c r="E989" i="10"/>
  <c r="F989" i="10"/>
  <c r="I989" i="10"/>
  <c r="J989" i="10"/>
  <c r="D990" i="10"/>
  <c r="E990" i="10"/>
  <c r="F990" i="10"/>
  <c r="I990" i="10"/>
  <c r="D991" i="10"/>
  <c r="E991" i="10"/>
  <c r="F991" i="10"/>
  <c r="I991" i="10"/>
  <c r="J991" i="10"/>
  <c r="D992" i="10"/>
  <c r="E992" i="10"/>
  <c r="F992" i="10"/>
  <c r="I992" i="10"/>
  <c r="J992" i="10"/>
  <c r="D993" i="10"/>
  <c r="E993" i="10"/>
  <c r="F993" i="10"/>
  <c r="I993" i="10"/>
  <c r="J993" i="10"/>
  <c r="D994" i="10"/>
  <c r="E994" i="10"/>
  <c r="F994" i="10"/>
  <c r="I994" i="10"/>
  <c r="J994" i="10"/>
  <c r="D995" i="10"/>
  <c r="E995" i="10"/>
  <c r="F995" i="10"/>
  <c r="I995" i="10"/>
  <c r="J995" i="10"/>
  <c r="D996" i="10"/>
  <c r="E996" i="10"/>
  <c r="F996" i="10"/>
  <c r="I996" i="10"/>
  <c r="J996" i="10"/>
  <c r="D997" i="10"/>
  <c r="E997" i="10"/>
  <c r="F997" i="10"/>
  <c r="I997" i="10"/>
  <c r="J997" i="10"/>
  <c r="D998" i="10"/>
  <c r="E998" i="10"/>
  <c r="F998" i="10"/>
  <c r="I998" i="10"/>
  <c r="D999" i="10"/>
  <c r="E999" i="10"/>
  <c r="F999" i="10"/>
  <c r="I999" i="10"/>
  <c r="J999" i="10"/>
  <c r="D1000" i="10"/>
  <c r="E1000" i="10"/>
  <c r="F1000" i="10"/>
  <c r="I1000" i="10"/>
  <c r="J1000" i="10"/>
  <c r="B17" i="9"/>
  <c r="B40" i="9" s="1"/>
  <c r="E40" i="9" s="1"/>
  <c r="C17" i="9"/>
  <c r="C40" i="9" s="1"/>
  <c r="F40" i="9" s="1"/>
  <c r="D17" i="9"/>
  <c r="D40" i="9" s="1"/>
  <c r="G40" i="9" s="1"/>
  <c r="B18" i="9"/>
  <c r="B42" i="9" s="1"/>
  <c r="E42" i="9" s="1"/>
  <c r="C18" i="9"/>
  <c r="D18" i="9"/>
  <c r="D41" i="9" s="1"/>
  <c r="G41" i="9" s="1"/>
  <c r="B19" i="9"/>
  <c r="C19" i="9"/>
  <c r="D19" i="9"/>
  <c r="B20" i="9"/>
  <c r="B43" i="9" s="1"/>
  <c r="E43" i="9" s="1"/>
  <c r="C20" i="9"/>
  <c r="C43" i="9" s="1"/>
  <c r="F43" i="9" s="1"/>
  <c r="D20" i="9"/>
  <c r="D44" i="9" s="1"/>
  <c r="G44" i="9" s="1"/>
  <c r="B21" i="9"/>
  <c r="C21" i="9"/>
  <c r="D21" i="9"/>
  <c r="B22" i="9"/>
  <c r="C22" i="9"/>
  <c r="D22" i="9"/>
  <c r="D45" i="9" s="1"/>
  <c r="G45" i="9" s="1"/>
  <c r="B23" i="9"/>
  <c r="B46" i="9" s="1"/>
  <c r="E46" i="9" s="1"/>
  <c r="C23" i="9"/>
  <c r="C46" i="9" s="1"/>
  <c r="F46" i="9" s="1"/>
  <c r="D23" i="9"/>
  <c r="B24" i="9"/>
  <c r="B47" i="9" s="1"/>
  <c r="E47" i="9" s="1"/>
  <c r="C24" i="9"/>
  <c r="D24" i="9"/>
  <c r="B25" i="9"/>
  <c r="B48" i="9" s="1"/>
  <c r="E48" i="9" s="1"/>
  <c r="C25" i="9"/>
  <c r="C48" i="9" s="1"/>
  <c r="F48" i="9" s="1"/>
  <c r="D25" i="9"/>
  <c r="D48" i="9" s="1"/>
  <c r="G48" i="9" s="1"/>
  <c r="B26" i="9"/>
  <c r="B50" i="9" s="1"/>
  <c r="E50" i="9" s="1"/>
  <c r="C26" i="9"/>
  <c r="D26" i="9"/>
  <c r="D49" i="9" s="1"/>
  <c r="G49" i="9" s="1"/>
  <c r="B27" i="9"/>
  <c r="C27" i="9"/>
  <c r="D27" i="9"/>
  <c r="B28" i="9"/>
  <c r="B51" i="9" s="1"/>
  <c r="E51" i="9" s="1"/>
  <c r="C28" i="9"/>
  <c r="C51" i="9" s="1"/>
  <c r="F51" i="9" s="1"/>
  <c r="D28" i="9"/>
  <c r="D52" i="9" s="1"/>
  <c r="G52" i="9" s="1"/>
  <c r="B29" i="9"/>
  <c r="C29" i="9"/>
  <c r="D29" i="9"/>
  <c r="B30" i="9"/>
  <c r="C30" i="9"/>
  <c r="D30" i="9"/>
  <c r="D53" i="9" s="1"/>
  <c r="G53" i="9" s="1"/>
  <c r="B31" i="9"/>
  <c r="B54" i="9" s="1"/>
  <c r="E54" i="9" s="1"/>
  <c r="C31" i="9"/>
  <c r="C55" i="9" s="1"/>
  <c r="F55" i="9" s="1"/>
  <c r="D31" i="9"/>
  <c r="B32" i="9"/>
  <c r="B55" i="9" s="1"/>
  <c r="E55" i="9" s="1"/>
  <c r="C32" i="9"/>
  <c r="D32" i="9"/>
  <c r="B33" i="9"/>
  <c r="B56" i="9" s="1"/>
  <c r="E56" i="9" s="1"/>
  <c r="C33" i="9"/>
  <c r="C56" i="9" s="1"/>
  <c r="F56" i="9" s="1"/>
  <c r="D33" i="9"/>
  <c r="D56" i="9" s="1"/>
  <c r="G56" i="9" s="1"/>
  <c r="B34" i="9"/>
  <c r="B58" i="9" s="1"/>
  <c r="E58" i="9" s="1"/>
  <c r="C34" i="9"/>
  <c r="D34" i="9"/>
  <c r="D57" i="9" s="1"/>
  <c r="G57" i="9" s="1"/>
  <c r="B35" i="9"/>
  <c r="C35" i="9"/>
  <c r="D35" i="9"/>
  <c r="B36" i="9"/>
  <c r="B59" i="9" s="1"/>
  <c r="E59" i="9" s="1"/>
  <c r="C36" i="9"/>
  <c r="C59" i="9" s="1"/>
  <c r="F59" i="9" s="1"/>
  <c r="D36" i="9"/>
  <c r="D59" i="9" s="1"/>
  <c r="G59" i="9" s="1"/>
  <c r="C41" i="9"/>
  <c r="F41" i="9" s="1"/>
  <c r="C42" i="9"/>
  <c r="F42" i="9" s="1"/>
  <c r="D42" i="9"/>
  <c r="G42" i="9" s="1"/>
  <c r="B45" i="9"/>
  <c r="E45" i="9" s="1"/>
  <c r="C45" i="9"/>
  <c r="F45" i="9" s="1"/>
  <c r="D46" i="9"/>
  <c r="G46" i="9" s="1"/>
  <c r="D47" i="9"/>
  <c r="G47" i="9"/>
  <c r="C49" i="9"/>
  <c r="F49" i="9" s="1"/>
  <c r="C50" i="9"/>
  <c r="F50" i="9" s="1"/>
  <c r="D50" i="9"/>
  <c r="G50" i="9" s="1"/>
  <c r="B53" i="9"/>
  <c r="E53" i="9" s="1"/>
  <c r="C53" i="9"/>
  <c r="F53" i="9" s="1"/>
  <c r="D54" i="9"/>
  <c r="G54" i="9" s="1"/>
  <c r="D55" i="9"/>
  <c r="G55" i="9"/>
  <c r="C57" i="9"/>
  <c r="F57" i="9" s="1"/>
  <c r="C58" i="9"/>
  <c r="F58" i="9" s="1"/>
  <c r="D58" i="9"/>
  <c r="G58" i="9" s="1"/>
  <c r="B93" i="9"/>
  <c r="B94" i="9"/>
  <c r="C94" i="9" s="1"/>
  <c r="B97" i="9"/>
  <c r="B98" i="9"/>
  <c r="F4" i="8"/>
  <c r="F3" i="8"/>
  <c r="J495" i="10" l="1"/>
  <c r="J464" i="10"/>
  <c r="J456" i="10"/>
  <c r="J385" i="10"/>
  <c r="J334" i="10"/>
  <c r="J324" i="10"/>
  <c r="J288" i="10"/>
  <c r="J278" i="10"/>
  <c r="J273" i="10"/>
  <c r="J242" i="10"/>
  <c r="J234" i="10"/>
  <c r="J226" i="10"/>
  <c r="J196" i="10"/>
  <c r="J186" i="10"/>
  <c r="J181" i="10"/>
  <c r="J176" i="10"/>
  <c r="J161" i="10"/>
  <c r="J156" i="10"/>
  <c r="J151" i="10"/>
  <c r="J100" i="10"/>
  <c r="J57" i="10"/>
  <c r="J41" i="10"/>
  <c r="J36" i="10"/>
  <c r="J17" i="10"/>
  <c r="J12" i="10"/>
  <c r="J86" i="10"/>
  <c r="J76" i="10"/>
  <c r="J54" i="10"/>
  <c r="J49" i="10"/>
  <c r="J575" i="10"/>
  <c r="J499" i="10"/>
  <c r="J455" i="10"/>
  <c r="J429" i="10"/>
  <c r="J351" i="10"/>
  <c r="J303" i="10"/>
  <c r="J295" i="10"/>
  <c r="J282" i="10"/>
  <c r="J205" i="10"/>
  <c r="J185" i="10"/>
  <c r="J180" i="10"/>
  <c r="J175" i="10"/>
  <c r="J165" i="10"/>
  <c r="J60" i="10"/>
  <c r="J474" i="10"/>
  <c r="J422" i="10"/>
  <c r="J379" i="10"/>
  <c r="J354" i="10"/>
  <c r="J318" i="10"/>
  <c r="J251" i="10"/>
  <c r="J198" i="10"/>
  <c r="J188" i="10"/>
  <c r="J72" i="10"/>
  <c r="J61" i="10"/>
  <c r="J492" i="10"/>
  <c r="J461" i="10"/>
  <c r="J440" i="10"/>
  <c r="J427" i="10"/>
  <c r="J417" i="10"/>
  <c r="J397" i="10"/>
  <c r="J331" i="10"/>
  <c r="J261" i="10"/>
  <c r="J213" i="10"/>
  <c r="J203" i="10"/>
  <c r="J193" i="10"/>
  <c r="J94" i="10"/>
  <c r="J73" i="10"/>
  <c r="J46" i="10"/>
  <c r="J25" i="10"/>
  <c r="J4" i="10"/>
  <c r="J875" i="10"/>
  <c r="J859" i="10"/>
  <c r="J835" i="10"/>
  <c r="J819" i="10"/>
  <c r="J795" i="10"/>
  <c r="J723" i="10"/>
  <c r="J683" i="10"/>
  <c r="J587" i="10"/>
  <c r="J555" i="10"/>
  <c r="J531" i="10"/>
  <c r="J443" i="10"/>
  <c r="J403" i="10"/>
  <c r="J395" i="10"/>
  <c r="J307" i="10"/>
  <c r="J163" i="10"/>
  <c r="J147" i="10"/>
  <c r="J123" i="10"/>
  <c r="J115" i="10"/>
  <c r="J107" i="10"/>
  <c r="J99" i="10"/>
  <c r="J83" i="10"/>
  <c r="J75" i="10"/>
  <c r="J67" i="10"/>
  <c r="J59" i="10"/>
  <c r="J35" i="10"/>
  <c r="J19" i="10"/>
  <c r="J990" i="10"/>
  <c r="J806" i="10"/>
  <c r="J646" i="10"/>
  <c r="J574" i="10"/>
  <c r="J390" i="10"/>
  <c r="J182" i="10"/>
  <c r="J166" i="10"/>
  <c r="J158" i="10"/>
  <c r="J68" i="10"/>
  <c r="J11" i="10"/>
  <c r="J9" i="10"/>
  <c r="J865" i="10"/>
  <c r="J801" i="10"/>
  <c r="J721" i="10"/>
  <c r="J609" i="10"/>
  <c r="J545" i="10"/>
  <c r="J513" i="10"/>
  <c r="J497" i="10"/>
  <c r="J481" i="10"/>
  <c r="J425" i="10"/>
  <c r="J409" i="10"/>
  <c r="J377" i="10"/>
  <c r="J313" i="10"/>
  <c r="J265" i="10"/>
  <c r="J209" i="10"/>
  <c r="J153" i="10"/>
  <c r="J145" i="10"/>
  <c r="J129" i="10"/>
  <c r="J121" i="10"/>
  <c r="J105" i="10"/>
  <c r="J101" i="10"/>
  <c r="J93" i="10"/>
  <c r="J77" i="10"/>
  <c r="J53" i="10"/>
  <c r="J21" i="10"/>
  <c r="J982" i="10"/>
  <c r="J974" i="10"/>
  <c r="J916" i="10"/>
  <c r="J716" i="10"/>
  <c r="J692" i="10"/>
  <c r="J620" i="10"/>
  <c r="J436" i="10"/>
  <c r="J372" i="10"/>
  <c r="J348" i="10"/>
  <c r="J276" i="10"/>
  <c r="J268" i="10"/>
  <c r="J124" i="10"/>
  <c r="J108" i="10"/>
  <c r="J22" i="10"/>
  <c r="J2" i="10"/>
  <c r="J870" i="10"/>
  <c r="J972" i="10"/>
  <c r="J804" i="10"/>
  <c r="J879" i="10"/>
  <c r="J823" i="10"/>
  <c r="J775" i="10"/>
  <c r="J719" i="10"/>
  <c r="J623" i="10"/>
  <c r="J591" i="10"/>
  <c r="J511" i="10"/>
  <c r="J415" i="10"/>
  <c r="J367" i="10"/>
  <c r="J359" i="10"/>
  <c r="J287" i="10"/>
  <c r="J255" i="10"/>
  <c r="J247" i="10"/>
  <c r="J191" i="10"/>
  <c r="J143" i="10"/>
  <c r="J135" i="10"/>
  <c r="J127" i="10"/>
  <c r="J103" i="10"/>
  <c r="J87" i="10"/>
  <c r="J47" i="10"/>
  <c r="J3" i="10"/>
  <c r="J998" i="10"/>
  <c r="J930" i="10"/>
  <c r="J858" i="10"/>
  <c r="J610" i="10"/>
  <c r="J562" i="10"/>
  <c r="J506" i="10"/>
  <c r="J346" i="10"/>
  <c r="J330" i="10"/>
  <c r="J314" i="10"/>
  <c r="J250" i="10"/>
  <c r="J106" i="10"/>
  <c r="J88" i="10"/>
  <c r="J16" i="10"/>
  <c r="J5" i="10"/>
  <c r="J840" i="10"/>
  <c r="J744" i="10"/>
  <c r="J616" i="10"/>
  <c r="J480" i="10"/>
  <c r="J392" i="10"/>
  <c r="J368" i="10"/>
  <c r="J272" i="10"/>
  <c r="J112" i="10"/>
  <c r="C97" i="9"/>
  <c r="D97" i="9" s="1"/>
  <c r="F9" i="9" s="1"/>
  <c r="C98" i="9"/>
  <c r="D98" i="9" s="1"/>
  <c r="F10" i="9" s="1"/>
  <c r="C54" i="9"/>
  <c r="F54" i="9" s="1"/>
  <c r="C52" i="9"/>
  <c r="F52" i="9" s="1"/>
  <c r="C44" i="9"/>
  <c r="F44" i="9" s="1"/>
  <c r="B52" i="9"/>
  <c r="E52" i="9" s="1"/>
  <c r="B44" i="9"/>
  <c r="E44" i="9" s="1"/>
  <c r="B57" i="9"/>
  <c r="E57" i="9" s="1"/>
  <c r="B49" i="9"/>
  <c r="E49" i="9" s="1"/>
  <c r="B41" i="9"/>
  <c r="E41" i="9" s="1"/>
  <c r="D51" i="9"/>
  <c r="G51" i="9" s="1"/>
  <c r="D43" i="9"/>
  <c r="G43" i="9" s="1"/>
  <c r="C47" i="9"/>
  <c r="F47" i="9" s="1"/>
  <c r="O48" i="4"/>
  <c r="O46" i="4"/>
  <c r="O45" i="4"/>
  <c r="B67" i="9" l="1"/>
  <c r="B11" i="10"/>
  <c r="B12" i="10" s="1"/>
  <c r="B66" i="9"/>
  <c r="B73" i="9"/>
  <c r="B65" i="9"/>
  <c r="B77" i="9" s="1"/>
  <c r="E77" i="9" s="1"/>
  <c r="B69" i="9"/>
  <c r="B72" i="9"/>
  <c r="B71" i="9"/>
  <c r="B68" i="9"/>
  <c r="B70" i="9"/>
  <c r="B74" i="9"/>
  <c r="O34" i="4"/>
  <c r="O35" i="4" s="1"/>
  <c r="O15" i="4"/>
  <c r="O23" i="4"/>
  <c r="O21" i="4"/>
  <c r="O16" i="4"/>
  <c r="O14" i="4"/>
  <c r="L60" i="4"/>
  <c r="L61" i="4" s="1"/>
  <c r="L51" i="4"/>
  <c r="L41" i="4"/>
  <c r="L46" i="4"/>
  <c r="L45" i="4"/>
  <c r="L36" i="4"/>
  <c r="L35" i="4"/>
  <c r="L23" i="4"/>
  <c r="L16" i="4"/>
  <c r="L21" i="4"/>
  <c r="L22" i="4" s="1"/>
  <c r="L14" i="4"/>
  <c r="L15" i="4" s="1"/>
  <c r="I14" i="4"/>
  <c r="I15" i="4" s="1"/>
  <c r="I36" i="4"/>
  <c r="I37" i="4" s="1"/>
  <c r="F24" i="4"/>
  <c r="F25" i="4" s="1"/>
  <c r="F27" i="4" s="1"/>
  <c r="F11" i="4"/>
  <c r="C44" i="4"/>
  <c r="C45" i="4" s="1"/>
  <c r="C46" i="4" s="1"/>
  <c r="B44" i="4"/>
  <c r="B45" i="4" s="1"/>
  <c r="B46" i="4" s="1"/>
  <c r="C37" i="4"/>
  <c r="C38" i="4" s="1"/>
  <c r="C39" i="4" s="1"/>
  <c r="B37" i="4"/>
  <c r="B38" i="4" s="1"/>
  <c r="B39" i="4" s="1"/>
  <c r="C22" i="4"/>
  <c r="B22" i="4"/>
  <c r="B21" i="4"/>
  <c r="C21" i="4"/>
  <c r="C14" i="4"/>
  <c r="C15" i="4" s="1"/>
  <c r="C16" i="4" s="1"/>
  <c r="B14" i="4"/>
  <c r="B15" i="4" s="1"/>
  <c r="B16" i="4" s="1"/>
  <c r="I23" i="4"/>
  <c r="I16" i="4"/>
  <c r="I21" i="4"/>
  <c r="I22" i="4" s="1"/>
  <c r="B47" i="4"/>
  <c r="C47" i="4"/>
  <c r="C40" i="4"/>
  <c r="B40" i="4"/>
  <c r="C25" i="4"/>
  <c r="C17" i="4"/>
  <c r="B25" i="4"/>
  <c r="B17" i="4"/>
  <c r="B80" i="9" l="1"/>
  <c r="E80" i="9" s="1"/>
  <c r="B83" i="9"/>
  <c r="E83" i="9" s="1"/>
  <c r="B81" i="9"/>
  <c r="E81" i="9" s="1"/>
  <c r="B86" i="9"/>
  <c r="E86" i="9" s="1"/>
  <c r="B85" i="9"/>
  <c r="E85" i="9" s="1"/>
  <c r="B82" i="9"/>
  <c r="E82" i="9" s="1"/>
  <c r="B78" i="9"/>
  <c r="E78" i="9" s="1"/>
  <c r="B79" i="9"/>
  <c r="E79" i="9" s="1"/>
  <c r="B84" i="9"/>
  <c r="E84" i="9" s="1"/>
  <c r="O25" i="4"/>
  <c r="O22" i="4"/>
  <c r="O26" i="4" s="1"/>
  <c r="L47" i="4"/>
  <c r="L49" i="4" s="1"/>
  <c r="L50" i="4" s="1"/>
  <c r="L37" i="4"/>
  <c r="L38" i="4" s="1"/>
  <c r="L25" i="4"/>
  <c r="L26" i="4"/>
  <c r="F13" i="4"/>
  <c r="B23" i="4"/>
  <c r="B27" i="4" s="1"/>
  <c r="I26" i="4"/>
  <c r="C23" i="4"/>
  <c r="C27" i="4" s="1"/>
  <c r="I25" i="4"/>
  <c r="B31" i="4" l="1"/>
  <c r="L39" i="4"/>
  <c r="L40" i="4" s="1"/>
  <c r="L54" i="4" s="1"/>
  <c r="I43" i="4" s="1"/>
  <c r="L48" i="4"/>
  <c r="F15" i="4"/>
  <c r="F17" i="4" s="1"/>
  <c r="F32" i="4" s="1"/>
  <c r="F14" i="4"/>
  <c r="C24" i="4"/>
  <c r="C28" i="4" s="1"/>
  <c r="B24" i="4"/>
  <c r="B28" i="4" s="1"/>
  <c r="B49" i="4"/>
  <c r="B50" i="4"/>
  <c r="L53" i="4" l="1"/>
  <c r="B32" i="4"/>
  <c r="C49" i="4"/>
  <c r="B53" i="4" s="1"/>
  <c r="C50" i="4"/>
  <c r="B54" i="4" s="1"/>
</calcChain>
</file>

<file path=xl/sharedStrings.xml><?xml version="1.0" encoding="utf-8"?>
<sst xmlns="http://schemas.openxmlformats.org/spreadsheetml/2006/main" count="907" uniqueCount="342">
  <si>
    <t>Year</t>
  </si>
  <si>
    <t>Category</t>
  </si>
  <si>
    <t>Age</t>
  </si>
  <si>
    <t>TRANSFORM-2</t>
  </si>
  <si>
    <t>TRANSFORM-1</t>
  </si>
  <si>
    <t>Mianserin</t>
  </si>
  <si>
    <t>Mirtazapine</t>
  </si>
  <si>
    <t>Augmentation</t>
  </si>
  <si>
    <t>Study</t>
  </si>
  <si>
    <t>Lower  95%CI</t>
  </si>
  <si>
    <t>Upper 95%CI</t>
  </si>
  <si>
    <t>RR</t>
  </si>
  <si>
    <t>Bauer 2009 (ONYX)</t>
  </si>
  <si>
    <t>Dunner 2007</t>
  </si>
  <si>
    <t>Durgam 2016</t>
  </si>
  <si>
    <t>El-Khalili 2010 (PEARL)</t>
  </si>
  <si>
    <t>Ferreri 2001</t>
  </si>
  <si>
    <t>Kessler 2018</t>
  </si>
  <si>
    <t>McIntyre 2007</t>
  </si>
  <si>
    <t>Papakostas 2015</t>
  </si>
  <si>
    <t>Shelton 2001</t>
  </si>
  <si>
    <t>Ratio</t>
  </si>
  <si>
    <t>Type</t>
  </si>
  <si>
    <t>Combination</t>
  </si>
  <si>
    <t>Drug</t>
  </si>
  <si>
    <t>Parameter</t>
  </si>
  <si>
    <t>Response</t>
  </si>
  <si>
    <t>Remission</t>
  </si>
  <si>
    <t>Cariprazine</t>
  </si>
  <si>
    <t>Doses</t>
  </si>
  <si>
    <t>Fixed</t>
  </si>
  <si>
    <t>Mixed</t>
  </si>
  <si>
    <t>Olazapine</t>
  </si>
  <si>
    <t>Quetiapine</t>
  </si>
  <si>
    <t>Ziprasidone</t>
  </si>
  <si>
    <t>esketamine_ucost</t>
  </si>
  <si>
    <t>Variable</t>
  </si>
  <si>
    <t>Unit cost</t>
  </si>
  <si>
    <t>Cost per cycle</t>
  </si>
  <si>
    <t>Weight</t>
  </si>
  <si>
    <t>Esketamine RCT</t>
  </si>
  <si>
    <t>n</t>
  </si>
  <si>
    <t>Dose (mg) per week</t>
  </si>
  <si>
    <t>Dose (mg) per cycle</t>
  </si>
  <si>
    <t>Group 1 (56 mg)</t>
  </si>
  <si>
    <t>Group 2 (84 mg)</t>
  </si>
  <si>
    <t>Weighted devices per cycle</t>
  </si>
  <si>
    <t>Weighted cost per cycle</t>
  </si>
  <si>
    <t>Fedgchin 2019_TRANSFORM-1</t>
  </si>
  <si>
    <t>Popova_2019_TRANSFORM-2</t>
  </si>
  <si>
    <t>Lower</t>
  </si>
  <si>
    <t>Upper</t>
  </si>
  <si>
    <t>type</t>
  </si>
  <si>
    <t>Pooled cost per cycle</t>
  </si>
  <si>
    <t>Weight in meta-analysis</t>
  </si>
  <si>
    <t>Pooled devices per cycle</t>
  </si>
  <si>
    <t>olanzapine_ucost</t>
  </si>
  <si>
    <t>Dose per unit (mg)</t>
  </si>
  <si>
    <t>Induction phase (4 weeks)</t>
  </si>
  <si>
    <t>Maintenance phase (4 weeks)</t>
  </si>
  <si>
    <t>mianserin_ucost</t>
  </si>
  <si>
    <t>mirtazapine_ucost</t>
  </si>
  <si>
    <t>esketamine_udose</t>
  </si>
  <si>
    <t>olanzapine_udose</t>
  </si>
  <si>
    <t>mirtazapine_udose</t>
  </si>
  <si>
    <t>mianserin_udose</t>
  </si>
  <si>
    <t>Pooled cost of cycle 1</t>
  </si>
  <si>
    <t>Pooled cost of cycle 2 onwards</t>
  </si>
  <si>
    <t>cariprazine_ucost</t>
  </si>
  <si>
    <t>cariprazine_udose</t>
  </si>
  <si>
    <t>Dose (mg) per week (week 2-4)</t>
  </si>
  <si>
    <t>Group 2 (2-4 mg)</t>
  </si>
  <si>
    <t>Group 1 (1-2 mg)</t>
  </si>
  <si>
    <t>Mean daily dose</t>
  </si>
  <si>
    <t>Mean dose per cycle</t>
  </si>
  <si>
    <t>Weighted dose per cycle</t>
  </si>
  <si>
    <t>Dose (mg) per week (week 1)</t>
  </si>
  <si>
    <t>Dose (mg) per week (week 1-2)</t>
  </si>
  <si>
    <t>Ferrari 2001</t>
  </si>
  <si>
    <t>Dose (mg) of 12 weeks</t>
  </si>
  <si>
    <t>Dose (mg) per week (week 3 and onwards)</t>
  </si>
  <si>
    <t>Mean daily dose (mg)</t>
  </si>
  <si>
    <t>Remarks:</t>
  </si>
  <si>
    <t>*Unless the observation period is equivalent to 4 weeks (cycle length), mean daily doses are calculated/adopted for studies with longer follow-up period to achieve outcome (e.g. 12 weeks), especially those with dosage increase/tapering and flexible-dosing regimens.</t>
  </si>
  <si>
    <t>Mirtazapine RCT*</t>
  </si>
  <si>
    <t>Cariprazine RCT*</t>
  </si>
  <si>
    <t>Bauer 2009</t>
  </si>
  <si>
    <t>Olazapine RCT*</t>
  </si>
  <si>
    <t>Quetiapine RCT^</t>
  </si>
  <si>
    <t>^Absence of full-text publication. Potential dose tapering/increase in the initial period not accounted.</t>
  </si>
  <si>
    <t>Group 1 (150 mg)</t>
  </si>
  <si>
    <t>quetiapine_ucost</t>
  </si>
  <si>
    <t>quetiapine_udose</t>
  </si>
  <si>
    <t>Group 2 (300 mg)</t>
  </si>
  <si>
    <t>El-Khalili 2010</t>
  </si>
  <si>
    <t>Quetiapine RCT</t>
  </si>
  <si>
    <t>Dose (mg) per week (week 2 and onwards)</t>
  </si>
  <si>
    <t>Dose (mg) of 6 weeks</t>
  </si>
  <si>
    <t>Quetiapine RCT*</t>
  </si>
  <si>
    <t>Group 1 (80 mg)</t>
  </si>
  <si>
    <t>ziprasidone_ucost</t>
  </si>
  <si>
    <t>Ziprasidone RCT^</t>
  </si>
  <si>
    <t>Group 2 (160 mg)</t>
  </si>
  <si>
    <t>Ziprasidone RCT*</t>
  </si>
  <si>
    <t>Pooled devices in cycle 1</t>
  </si>
  <si>
    <t>Treatment Arm</t>
    <phoneticPr fontId="10" type="noConversion"/>
  </si>
  <si>
    <t>AD+AD (COM)</t>
    <phoneticPr fontId="10" type="noConversion"/>
  </si>
  <si>
    <t>AD+APSY (AUG)</t>
    <phoneticPr fontId="10" type="noConversion"/>
  </si>
  <si>
    <t>PSY alone</t>
    <phoneticPr fontId="10" type="noConversion"/>
  </si>
  <si>
    <t>Reference</t>
    <phoneticPr fontId="10" type="noConversion"/>
  </si>
  <si>
    <t>Zhou 2015 (NMA)</t>
  </si>
  <si>
    <t>Zhou 2015 (NMA)</t>
    <phoneticPr fontId="10" type="noConversion"/>
  </si>
  <si>
    <t>OR</t>
  </si>
  <si>
    <t xml:space="preserve">Lithium </t>
  </si>
  <si>
    <t>ziprasidone_udose</t>
    <phoneticPr fontId="3" type="noConversion"/>
  </si>
  <si>
    <t>Lithium_ucost</t>
    <phoneticPr fontId="3" type="noConversion"/>
  </si>
  <si>
    <t>Lithium_udose</t>
    <phoneticPr fontId="3" type="noConversion"/>
  </si>
  <si>
    <t>Lithium</t>
    <phoneticPr fontId="3" type="noConversion"/>
  </si>
  <si>
    <t>Zhou 2015</t>
    <phoneticPr fontId="3" type="noConversion"/>
  </si>
  <si>
    <t>Cost per cycle</t>
    <phoneticPr fontId="3" type="noConversion"/>
  </si>
  <si>
    <t>Cost per cycle - Monitor</t>
    <phoneticPr fontId="3" type="noConversion"/>
  </si>
  <si>
    <t>Cost per cycle - Drug</t>
    <phoneticPr fontId="3" type="noConversion"/>
  </si>
  <si>
    <r>
      <t>[2] Hospital Authority. (2017). </t>
    </r>
    <r>
      <rPr>
        <i/>
        <sz val="12"/>
        <color rgb="FF000000"/>
        <rFont val="Roboto"/>
        <charset val="1"/>
      </rPr>
      <t>Hospital Authority : Fees and Charges</t>
    </r>
    <r>
      <rPr>
        <sz val="12"/>
        <color rgb="FF000000"/>
        <rFont val="Roboto"/>
        <charset val="1"/>
      </rPr>
      <t>. Www.ha.org.hk. https://www.ha.org.hk/visitor/ha_visitor_index.asp?Content_ID=10045&amp;Lang=ENG</t>
    </r>
  </si>
  <si>
    <r>
      <t>[1] Diagnostic / Therapeutic Procedures</t>
    </r>
    <r>
      <rPr>
        <sz val="12"/>
        <color rgb="FF000000"/>
        <rFont val="Roboto"/>
        <charset val="1"/>
      </rPr>
      <t>. (2025). Ha.org.hk. https://www3.ha.org.hk/fnc/DiagnosticTherapeuticProcedures.aspx?lang=ENG</t>
    </r>
  </si>
  <si>
    <t>ECT (+AD)</t>
  </si>
  <si>
    <t>ESK(+AD)</t>
    <phoneticPr fontId="20" type="noConversion"/>
  </si>
  <si>
    <t>rTMS(+AD)</t>
  </si>
  <si>
    <t>PSY(+AD)</t>
  </si>
  <si>
    <t xml:space="preserve">HRU: SOPC Cost   </t>
    <phoneticPr fontId="20" type="noConversion"/>
  </si>
  <si>
    <t>Medication Cost</t>
  </si>
  <si>
    <t>38,880 – 116,640 (50% range)</t>
    <phoneticPr fontId="10" type="noConversion"/>
  </si>
  <si>
    <r>
      <t>1,190*4=4,760</t>
    </r>
    <r>
      <rPr>
        <sz val="9"/>
        <color rgb="FF000000"/>
        <rFont val="Roboto"/>
        <charset val="1"/>
      </rPr>
      <t>(SOPC)</t>
    </r>
    <r>
      <rPr>
        <sz val="16"/>
        <color rgb="FF000000"/>
        <rFont val="Roboto"/>
        <charset val="1"/>
      </rPr>
      <t>;
1,260*4=5,040</t>
    </r>
    <r>
      <rPr>
        <sz val="10"/>
        <color rgb="FF000000"/>
        <rFont val="Roboto"/>
        <charset val="1"/>
      </rPr>
      <t xml:space="preserve"> (Psychiatric day hospital)</t>
    </r>
    <phoneticPr fontId="20" type="noConversion"/>
  </si>
  <si>
    <t>1,304*3(dose)*4= 15,648</t>
    <phoneticPr fontId="10" type="noConversion"/>
  </si>
  <si>
    <t>48,000 – 72,000 (20% range)</t>
    <phoneticPr fontId="10" type="noConversion"/>
  </si>
  <si>
    <t>1,190*20=23,800</t>
    <phoneticPr fontId="20" type="noConversion"/>
  </si>
  <si>
    <t>2,520 – 3,780 (20% range)</t>
    <phoneticPr fontId="10" type="noConversion"/>
  </si>
  <si>
    <t xml:space="preserve">HRU: SOPC Cost Range   </t>
    <phoneticPr fontId="20" type="noConversion"/>
  </si>
  <si>
    <t>Medication Cost Range</t>
    <phoneticPr fontId="10" type="noConversion"/>
  </si>
  <si>
    <t>9,720*8=77,760</t>
    <phoneticPr fontId="10" type="noConversion"/>
  </si>
  <si>
    <t xml:space="preserve">3,000*20 = 60,000 </t>
    <phoneticPr fontId="10" type="noConversion"/>
  </si>
  <si>
    <t>3,150*1 = 3,150</t>
    <phoneticPr fontId="10" type="noConversion"/>
  </si>
  <si>
    <t>Reference</t>
    <phoneticPr fontId="21" type="noConversion"/>
  </si>
  <si>
    <t>Total cost</t>
    <phoneticPr fontId="10" type="noConversion"/>
  </si>
  <si>
    <t>AUG</t>
    <phoneticPr fontId="10" type="noConversion"/>
  </si>
  <si>
    <t>Response</t>
    <phoneticPr fontId="10" type="noConversion"/>
  </si>
  <si>
    <t>Remission</t>
    <phoneticPr fontId="10" type="noConversion"/>
  </si>
  <si>
    <t>COM</t>
    <phoneticPr fontId="10" type="noConversion"/>
  </si>
  <si>
    <t xml:space="preserve">Other HRU (OP/IP)  </t>
    <phoneticPr fontId="20" type="noConversion"/>
  </si>
  <si>
    <t>Total Cost (5 years) - Per-patient cost (HKD, 5-year)</t>
    <phoneticPr fontId="10" type="noConversion"/>
  </si>
  <si>
    <t>Cost per cycle (28 days) (HKD)</t>
    <phoneticPr fontId="20" type="noConversion"/>
  </si>
  <si>
    <t>Cost Range per cycle (28 days) for PSA (HKD)</t>
    <phoneticPr fontId="10" type="noConversion"/>
  </si>
  <si>
    <t>Log(scale)</t>
  </si>
  <si>
    <t>(Intercept)</t>
  </si>
  <si>
    <t>Mu+Tz</t>
  </si>
  <si>
    <t>Tz</t>
  </si>
  <si>
    <t>z</t>
  </si>
  <si>
    <t>Random variables</t>
  </si>
  <si>
    <t>Cholesky decomposition</t>
  </si>
  <si>
    <t>Variance-covariance matrix</t>
  </si>
  <si>
    <t>P(t)_4W</t>
  </si>
  <si>
    <t>Transition probability in any given cycle: P(t) = 1 - S(t)/S(t-u) where u is the cycle length</t>
  </si>
  <si>
    <t>S(t) in R for the 1st subgroup is given by: 1-plnorm(t, meanlog = fit$coefficients[1]+fit$coefficients[n], sdlog = fit$scale)</t>
  </si>
  <si>
    <t>Survival function: S(t) = 1 - Φ((lnt−μ)/σ) given the probabilistic values</t>
  </si>
  <si>
    <t>Probabilistic values</t>
  </si>
  <si>
    <t>P(t)_upper_4W</t>
  </si>
  <si>
    <t>P(t)_lower_4W</t>
  </si>
  <si>
    <t>P(t)_upper</t>
  </si>
  <si>
    <t>P(t)_lower</t>
  </si>
  <si>
    <t>P(t)</t>
  </si>
  <si>
    <t>S(t)_upper</t>
  </si>
  <si>
    <t>S(t)_lower</t>
  </si>
  <si>
    <t>S(t)</t>
  </si>
  <si>
    <t>Survival function: S(t) = 1 - Φ((lnt−μ)/σ)</t>
  </si>
  <si>
    <t>Base case values</t>
  </si>
  <si>
    <t>&lt;0.001*</t>
  </si>
  <si>
    <t>-</t>
  </si>
  <si>
    <t>log(scale)</t>
  </si>
  <si>
    <t>intercept (meanlog)</t>
  </si>
  <si>
    <t>Coef (probabilistic)</t>
  </si>
  <si>
    <t>p</t>
  </si>
  <si>
    <t>Upper range</t>
  </si>
  <si>
    <t>Lower range</t>
  </si>
  <si>
    <t>Coef (base case)</t>
  </si>
  <si>
    <t>explanatory variables</t>
  </si>
  <si>
    <t>summary(fit)</t>
  </si>
  <si>
    <t>fit&lt;-survreg(Surv(time, event) ~ 1, data = temp, dist = 'lognormal')</t>
  </si>
  <si>
    <t>Formula</t>
  </si>
  <si>
    <t>Censoring: study end, death (outcome)</t>
  </si>
  <si>
    <t>Index date: First diagnosis date of TRD, i.e. date of receipt of the third antidepressant regimen</t>
  </si>
  <si>
    <t>Population: All TRD patients</t>
  </si>
  <si>
    <t>tpTRD2DEAD (re-analysis)</t>
  </si>
  <si>
    <t>Annual mortality as TRD</t>
  </si>
  <si>
    <t>Annual mortality</t>
  </si>
  <si>
    <t>prop female</t>
  </si>
  <si>
    <t>mean age</t>
  </si>
  <si>
    <t>Simulated population</t>
  </si>
  <si>
    <t>prop_female</t>
  </si>
  <si>
    <t>sd_age</t>
  </si>
  <si>
    <t>mean_age</t>
  </si>
  <si>
    <t>Hypothetical population</t>
  </si>
  <si>
    <t>LT_Female</t>
  </si>
  <si>
    <t>LT_Male</t>
  </si>
  <si>
    <t>LT_Age</t>
  </si>
  <si>
    <t>Mortality</t>
  </si>
  <si>
    <t>Eligible</t>
  </si>
  <si>
    <t>Female_abs</t>
  </si>
  <si>
    <t>Age_abs</t>
  </si>
  <si>
    <t>Roundup</t>
  </si>
  <si>
    <t>Female</t>
  </si>
  <si>
    <t>Release Date: 20 February, 2024</t>
  </si>
  <si>
    <t xml:space="preserve"> </t>
  </si>
  <si>
    <r>
      <rPr>
        <sz val="11.25"/>
        <color rgb="FF333333"/>
        <rFont val="Arial"/>
        <family val="2"/>
      </rPr>
      <t>Demographic Statistics Section (1),</t>
    </r>
    <r>
      <rPr>
        <sz val="11.25"/>
        <color rgb="FF333333"/>
        <rFont val="Arial"/>
        <family val="2"/>
      </rPr>
      <t xml:space="preserve">
</t>
    </r>
    <r>
      <rPr>
        <sz val="11.25"/>
        <color rgb="FF333333"/>
        <rFont val="Arial"/>
        <family val="2"/>
      </rPr>
      <t>Census and Statistics Department</t>
    </r>
    <r>
      <rPr>
        <sz val="11.25"/>
        <color rgb="FF333333"/>
        <rFont val="Arial"/>
        <family val="2"/>
      </rPr>
      <t xml:space="preserve">
</t>
    </r>
    <r>
      <rPr>
        <sz val="11.25"/>
        <color rgb="FF333333"/>
        <rFont val="Arial"/>
        <family val="2"/>
      </rPr>
      <t>(Enquiry telephone no. : 3903 6943</t>
    </r>
    <r>
      <rPr>
        <sz val="11.25"/>
        <color rgb="FF333333"/>
        <rFont val="Arial"/>
        <family val="2"/>
      </rPr>
      <t xml:space="preserve">
</t>
    </r>
    <r>
      <rPr>
        <sz val="11.25"/>
        <color rgb="FF333333"/>
        <rFont val="Arial"/>
        <family val="2"/>
      </rPr>
      <t> Enquiry e-mail : </t>
    </r>
    <r>
      <rPr>
        <b/>
        <sz val="11.25"/>
        <color rgb="FF28676C"/>
        <rFont val="Arial"/>
        <family val="2"/>
      </rPr>
      <t>population@censtatd.gov.hk</t>
    </r>
    <r>
      <rPr>
        <sz val="11.25"/>
        <color rgb="FF333333"/>
        <rFont val="Arial"/>
        <family val="2"/>
      </rPr>
      <t>)</t>
    </r>
  </si>
  <si>
    <t>Source:</t>
  </si>
  <si>
    <t>p Provisional figure</t>
  </si>
  <si>
    <t>‡‡ The expectation of life in 2022 should be interpreted with care as the figures are affected by exceptionally high mortality rates in 2022 during the COVID-19 epidemic.</t>
  </si>
  <si>
    <r>
      <rPr>
        <sz val="11.25"/>
        <color rgb="FF333333"/>
        <rFont val="Arial"/>
        <family val="2"/>
      </rPr>
      <t xml:space="preserve">1 </t>
    </r>
    <r>
      <rPr>
        <sz val="11.25"/>
        <color rgb="FF333333"/>
        <rFont val="Arial"/>
        <family val="2"/>
      </rPr>
      <t>This figure refers to the expectation of life at age 100.</t>
    </r>
  </si>
  <si>
    <t>Note(s):</t>
  </si>
  <si>
    <r>
      <rPr>
        <sz val="11.25"/>
        <color rgb="FF000000"/>
        <rFont val="Arial"/>
        <family val="2"/>
      </rPr>
      <t xml:space="preserve">100+ </t>
    </r>
    <r>
      <rPr>
        <sz val="11.25"/>
        <color rgb="FF30787E"/>
        <rFont val="Arial"/>
        <family val="2"/>
      </rPr>
      <t>(1)</t>
    </r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</si>
  <si>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</si>
  <si>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</si>
  <si>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</si>
  <si>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</si>
  <si>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</si>
  <si>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</si>
  <si>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</si>
  <si>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</si>
  <si>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</si>
  <si>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</si>
  <si>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</si>
  <si>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</si>
  <si>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</si>
  <si>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</si>
  <si>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</si>
  <si>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</si>
  <si>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</si>
  <si>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</si>
  <si>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</si>
  <si>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</si>
  <si>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</si>
  <si>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</si>
  <si>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</si>
  <si>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</si>
  <si>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</si>
  <si>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</si>
  <si>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</si>
  <si>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</si>
  <si>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</si>
  <si>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</si>
  <si>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</si>
  <si>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</si>
  <si>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</si>
  <si>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</si>
  <si>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</si>
  <si>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</si>
  <si>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</si>
  <si>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</si>
  <si>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</si>
  <si>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</si>
  <si>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</si>
  <si>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</si>
  <si>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</si>
  <si>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</si>
  <si>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</si>
  <si>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</si>
  <si>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</si>
  <si>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</si>
  <si>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</si>
  <si>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</si>
  <si>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</si>
  <si>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</si>
  <si>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</si>
  <si>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</si>
  <si>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</si>
  <si>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</si>
  <si>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</si>
  <si>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</si>
  <si>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</si>
  <si>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</si>
  <si>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</si>
  <si>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</si>
  <si>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</si>
  <si>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</si>
  <si>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</si>
  <si>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</si>
  <si>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</si>
  <si>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</si>
  <si>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</si>
  <si>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</si>
  <si>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</si>
  <si>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</si>
  <si>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</si>
  <si>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</si>
  <si>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</si>
  <si>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</si>
  <si>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</si>
  <si>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</si>
  <si>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</si>
  <si>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</si>
  <si>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</si>
  <si>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</si>
  <si>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</si>
  <si>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</si>
  <si>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</si>
  <si>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</si>
  <si>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</si>
  <si>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</si>
  <si>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</si>
  <si>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</si>
  <si>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</si>
  <si>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</si>
  <si>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</si>
  <si>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</si>
  <si>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</si>
  <si>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</si>
  <si>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</si>
  <si>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</si>
  <si>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</si>
  <si>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</si>
  <si>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r>
      <rPr>
        <sz val="11.25"/>
        <color rgb="FF000000"/>
        <rFont val="Arial"/>
        <family val="2"/>
      </rPr>
      <t xml:space="preserve">2023 </t>
    </r>
    <r>
      <rPr>
        <sz val="11.25"/>
        <color rgb="FF30787E"/>
        <rFont val="Arial"/>
        <family val="2"/>
      </rPr>
      <t>p</t>
    </r>
  </si>
  <si>
    <r>
      <rPr>
        <sz val="11.25"/>
        <color rgb="FF000000"/>
        <rFont val="Arial"/>
        <family val="2"/>
      </rPr>
      <t xml:space="preserve">2022 </t>
    </r>
    <r>
      <rPr>
        <sz val="11.25"/>
        <color rgb="FF30787E"/>
        <rFont val="Arial"/>
        <family val="2"/>
      </rPr>
      <t>‡‡</t>
    </r>
  </si>
  <si>
    <t>2021</t>
  </si>
  <si>
    <t>2020</t>
  </si>
  <si>
    <t>Age x</t>
  </si>
  <si>
    <t>e(x)</t>
  </si>
  <si>
    <t>T(x)</t>
  </si>
  <si>
    <t>L(x)</t>
  </si>
  <si>
    <t>d(x)</t>
  </si>
  <si>
    <t>l(x)</t>
  </si>
  <si>
    <t>q(x)</t>
  </si>
  <si>
    <t>Expectation of life at exact age x</t>
  </si>
  <si>
    <t>Total person-years lived after exact age x</t>
  </si>
  <si>
    <t>Number of person-years lived between exact age x and age x+1</t>
  </si>
  <si>
    <t>Number of deaths between exact age x and age x+1</t>
  </si>
  <si>
    <t>Number of survivors at exact age x</t>
  </si>
  <si>
    <t>Probability of dying between exact age x and age x+1</t>
  </si>
  <si>
    <t>Male</t>
  </si>
  <si>
    <t>Sex</t>
  </si>
  <si>
    <r>
      <rPr>
        <b/>
        <sz val="11.25"/>
        <color rgb="FF333333"/>
        <rFont val="Arial"/>
        <family val="2"/>
      </rPr>
      <t>Table 115-01021 : Hong Kong Life Tables</t>
    </r>
  </si>
  <si>
    <t>Non-pharmacological Intervention Cost</t>
  </si>
  <si>
    <t>Non-pharmacological Intervention Cost Range</t>
    <phoneticPr fontId="21" type="noConversion"/>
  </si>
  <si>
    <t>Non-pharmacological Intervention Cost</t>
    <phoneticPr fontId="21" type="noConversion"/>
  </si>
  <si>
    <t>2,340*28=65,520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</si>
</sst>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.0000"/>
    <numFmt numFmtId="177" formatCode="0.00000%"/>
    <numFmt numFmtId="178" formatCode="0.00000"/>
    <numFmt numFmtId="179" formatCode="0.00000000"/>
    <numFmt numFmtId="180" formatCode="0.000"/>
    <numFmt numFmtId="181" formatCode="0.0"/>
    <numFmt numFmtId="182" formatCode="0.00;\-0.00;0.00"/>
    <numFmt numFmtId="183" formatCode="###\ ##0;\-###\ ##0;0"/>
    <numFmt numFmtId="184" formatCode="0.00000000;\-0.00000000;0.00000000"/>
    <numFmt numFmtId="185" formatCode="##\ ##0;\-##\ ##0;0"/>
    <numFmt numFmtId="186" formatCode="#\ ###\ ##0;\-#\ ###\ ##0;0"/>
    <numFmt numFmtId="187" formatCode="#0.00;\-#0.00;0.00"/>
    <numFmt numFmtId="188" formatCode="##\ ###\ ##0;\-##\ ###\ ##0;0"/>
    <numFmt numFmtId="189" formatCode="#\ ##0;\-#\ ##0;0"/>
    <numFmt numFmtId="190" formatCode="##0;\-##0;0"/>
    <numFmt numFmtId="191" formatCode="#0;\-#0;0"/>
  </numFmts>
  <fonts count="40">
    <font>
      <sz val="12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等线"/>
      <family val="2"/>
      <scheme val="minor"/>
    </font>
    <font>
      <u/>
      <sz val="12"/>
      <color theme="1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i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Roboto"/>
      <charset val="1"/>
    </font>
    <font>
      <b/>
      <sz val="16"/>
      <color theme="1"/>
      <name val="等线"/>
      <family val="4"/>
      <charset val="134"/>
      <scheme val="minor"/>
    </font>
    <font>
      <sz val="16"/>
      <color theme="1"/>
      <name val="Roboto"/>
      <charset val="1"/>
    </font>
    <font>
      <sz val="16"/>
      <color theme="1"/>
      <name val="等线"/>
      <family val="2"/>
      <scheme val="minor"/>
    </font>
    <font>
      <b/>
      <sz val="18"/>
      <color theme="1"/>
      <name val="Roboto"/>
    </font>
    <font>
      <i/>
      <sz val="12"/>
      <color rgb="FF000000"/>
      <name val="Roboto"/>
    </font>
    <font>
      <sz val="12"/>
      <color rgb="FF000000"/>
      <name val="Roboto"/>
      <charset val="1"/>
    </font>
    <font>
      <i/>
      <sz val="12"/>
      <color rgb="FF000000"/>
      <name val="Roboto"/>
      <charset val="1"/>
    </font>
    <font>
      <b/>
      <sz val="16"/>
      <color theme="1"/>
      <name val="Roboto"/>
    </font>
    <font>
      <sz val="9"/>
      <name val="等线"/>
      <family val="2"/>
      <charset val="134"/>
      <scheme val="minor"/>
    </font>
    <font>
      <sz val="8"/>
      <name val="等线"/>
      <family val="2"/>
      <charset val="134"/>
      <scheme val="minor"/>
    </font>
    <font>
      <sz val="16"/>
      <color rgb="FF000000"/>
      <name val="Roboto"/>
      <charset val="1"/>
    </font>
    <font>
      <sz val="9"/>
      <color rgb="FF000000"/>
      <name val="Roboto"/>
      <charset val="1"/>
    </font>
    <font>
      <sz val="10"/>
      <color rgb="FF000000"/>
      <name val="Roboto"/>
      <charset val="1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b/>
      <sz val="12"/>
      <color rgb="FFC00000"/>
      <name val="等线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2"/>
      <color theme="0" tint="-0.249977111117893"/>
      <name val="等线"/>
      <family val="2"/>
      <scheme val="minor"/>
    </font>
    <font>
      <b/>
      <sz val="12"/>
      <color theme="0" tint="-0.249977111117893"/>
      <name val="等线"/>
      <family val="2"/>
      <scheme val="minor"/>
    </font>
    <font>
      <sz val="11.5"/>
      <color rgb="FF333333"/>
      <name val="Arial"/>
      <family val="2"/>
    </font>
    <font>
      <sz val="11.25"/>
      <color rgb="FF333333"/>
      <name val="Arial"/>
      <family val="2"/>
    </font>
    <font>
      <b/>
      <sz val="11.25"/>
      <color rgb="FF28676C"/>
      <name val="Arial"/>
      <family val="2"/>
    </font>
    <font>
      <sz val="11.5"/>
      <color rgb="FF000000"/>
      <name val="Arial"/>
      <family val="2"/>
    </font>
    <font>
      <sz val="11.25"/>
      <color rgb="FF000000"/>
      <name val="Arial"/>
      <family val="2"/>
    </font>
    <font>
      <sz val="11.25"/>
      <color rgb="FF30787E"/>
      <name val="Arial"/>
      <family val="2"/>
    </font>
    <font>
      <sz val="11.5"/>
      <color rgb="FFFFFFFF"/>
      <name val="Arial"/>
      <family val="2"/>
    </font>
    <font>
      <b/>
      <sz val="11.25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1C8388"/>
        <bgColor indexed="64"/>
      </patternFill>
    </fill>
    <fill>
      <patternFill patternType="solid">
        <fgColor rgb="FFB2E1E3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25" fillId="0" borderId="0" applyFont="0" applyFill="0" applyBorder="0" applyAlignment="0" applyProtection="0"/>
  </cellStyleXfs>
  <cellXfs count="112">
    <xf numFmtId="0" fontId="0" fillId="0" borderId="0" xfId="0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1" fontId="8" fillId="0" borderId="0" xfId="0" applyNumberFormat="1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7" fillId="4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7" fillId="0" borderId="0" xfId="0" applyFont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0" xfId="0" applyFont="1"/>
    <xf numFmtId="0" fontId="6" fillId="7" borderId="0" xfId="0" applyFont="1" applyFill="1" applyAlignment="1">
      <alignment horizontal="left"/>
    </xf>
    <xf numFmtId="0" fontId="0" fillId="7" borderId="0" xfId="0" applyFill="1" applyAlignment="1">
      <alignment horizontal="center"/>
    </xf>
    <xf numFmtId="0" fontId="6" fillId="7" borderId="0" xfId="0" applyFont="1" applyFill="1"/>
    <xf numFmtId="1" fontId="0" fillId="0" borderId="0" xfId="0" applyNumberFormat="1"/>
    <xf numFmtId="0" fontId="5" fillId="8" borderId="0" xfId="0" applyFont="1" applyFill="1" applyAlignment="1">
      <alignment horizontal="center"/>
    </xf>
    <xf numFmtId="0" fontId="5" fillId="8" borderId="0" xfId="0" applyFont="1" applyFill="1"/>
    <xf numFmtId="0" fontId="5" fillId="9" borderId="0" xfId="0" applyFont="1" applyFill="1" applyAlignment="1">
      <alignment vertical="center" wrapText="1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0" fontId="1" fillId="0" borderId="0" xfId="1">
      <alignment vertical="center"/>
    </xf>
    <xf numFmtId="0" fontId="17" fillId="0" borderId="0" xfId="1" applyFont="1" applyAlignment="1"/>
    <xf numFmtId="0" fontId="16" fillId="0" borderId="0" xfId="1" applyFont="1" applyAlignment="1"/>
    <xf numFmtId="0" fontId="15" fillId="0" borderId="0" xfId="1" applyFont="1" applyAlignment="1"/>
    <xf numFmtId="0" fontId="1" fillId="0" borderId="0" xfId="1" applyAlignment="1"/>
    <xf numFmtId="0" fontId="19" fillId="0" borderId="0" xfId="1" applyFont="1" applyAlignment="1"/>
    <xf numFmtId="0" fontId="11" fillId="0" borderId="0" xfId="1" applyFont="1" applyAlignment="1">
      <alignment horizontal="left" vertical="center"/>
    </xf>
    <xf numFmtId="0" fontId="15" fillId="8" borderId="0" xfId="1" applyFont="1" applyFill="1" applyAlignment="1"/>
    <xf numFmtId="0" fontId="14" fillId="0" borderId="0" xfId="1" applyFont="1" applyAlignment="1"/>
    <xf numFmtId="0" fontId="13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3" fontId="13" fillId="0" borderId="0" xfId="1" applyNumberFormat="1" applyFont="1" applyAlignment="1">
      <alignment horizontal="left"/>
    </xf>
    <xf numFmtId="0" fontId="13" fillId="0" borderId="0" xfId="1" applyFont="1" applyAlignment="1">
      <alignment horizontal="left" wrapText="1"/>
    </xf>
    <xf numFmtId="3" fontId="22" fillId="0" borderId="0" xfId="1" applyNumberFormat="1" applyFont="1" applyAlignment="1">
      <alignment horizontal="left" wrapText="1"/>
    </xf>
    <xf numFmtId="3" fontId="13" fillId="0" borderId="0" xfId="1" applyNumberFormat="1" applyFont="1" applyAlignment="1">
      <alignment horizontal="left" wrapText="1"/>
    </xf>
    <xf numFmtId="3" fontId="22" fillId="0" borderId="0" xfId="1" applyNumberFormat="1" applyFont="1" applyAlignment="1">
      <alignment horizontal="left"/>
    </xf>
    <xf numFmtId="0" fontId="12" fillId="0" borderId="0" xfId="1" applyFont="1" applyAlignment="1">
      <alignment horizontal="left" vertical="center"/>
    </xf>
    <xf numFmtId="0" fontId="13" fillId="0" borderId="0" xfId="1" applyFont="1" applyAlignment="1"/>
    <xf numFmtId="4" fontId="13" fillId="0" borderId="0" xfId="1" applyNumberFormat="1" applyFont="1" applyAlignment="1">
      <alignment horizontal="left"/>
    </xf>
    <xf numFmtId="176" fontId="0" fillId="0" borderId="0" xfId="0" applyNumberFormat="1"/>
    <xf numFmtId="11" fontId="0" fillId="0" borderId="0" xfId="0" applyNumberFormat="1"/>
    <xf numFmtId="177" fontId="0" fillId="0" borderId="0" xfId="2" applyNumberFormat="1" applyFont="1" applyFill="1" applyBorder="1"/>
    <xf numFmtId="10" fontId="26" fillId="0" borderId="0" xfId="2" applyNumberFormat="1" applyFont="1" applyFill="1" applyBorder="1"/>
    <xf numFmtId="10" fontId="27" fillId="0" borderId="0" xfId="2" applyNumberFormat="1" applyFont="1"/>
    <xf numFmtId="1" fontId="2" fillId="0" borderId="0" xfId="2" applyNumberFormat="1" applyFont="1" applyFill="1" applyBorder="1"/>
    <xf numFmtId="176" fontId="0" fillId="0" borderId="0" xfId="2" applyNumberFormat="1" applyFont="1" applyFill="1" applyBorder="1"/>
    <xf numFmtId="0" fontId="2" fillId="7" borderId="0" xfId="0" applyFont="1" applyFill="1"/>
    <xf numFmtId="10" fontId="0" fillId="0" borderId="0" xfId="2" applyNumberFormat="1" applyFont="1" applyFill="1" applyBorder="1"/>
    <xf numFmtId="0" fontId="0" fillId="8" borderId="0" xfId="2" applyNumberFormat="1" applyFont="1" applyFill="1" applyBorder="1"/>
    <xf numFmtId="10" fontId="27" fillId="0" borderId="0" xfId="2" applyNumberFormat="1" applyFont="1" applyFill="1" applyBorder="1"/>
    <xf numFmtId="2" fontId="0" fillId="0" borderId="0" xfId="2" applyNumberFormat="1" applyFont="1" applyFill="1" applyBorder="1"/>
    <xf numFmtId="1" fontId="0" fillId="0" borderId="0" xfId="2" applyNumberFormat="1" applyFont="1" applyFill="1" applyBorder="1"/>
    <xf numFmtId="0" fontId="2" fillId="8" borderId="0" xfId="2" applyNumberFormat="1" applyFont="1" applyFill="1" applyBorder="1"/>
    <xf numFmtId="178" fontId="0" fillId="0" borderId="0" xfId="0" applyNumberFormat="1"/>
    <xf numFmtId="178" fontId="0" fillId="0" borderId="0" xfId="2" applyNumberFormat="1" applyFont="1" applyFill="1" applyBorder="1"/>
    <xf numFmtId="0" fontId="5" fillId="10" borderId="0" xfId="0" applyFont="1" applyFill="1"/>
    <xf numFmtId="0" fontId="28" fillId="10" borderId="0" xfId="0" applyFont="1" applyFill="1"/>
    <xf numFmtId="0" fontId="0" fillId="10" borderId="0" xfId="0" applyFill="1" applyAlignment="1">
      <alignment horizontal="left"/>
    </xf>
    <xf numFmtId="179" fontId="0" fillId="10" borderId="0" xfId="0" applyNumberFormat="1" applyFill="1"/>
    <xf numFmtId="0" fontId="28" fillId="0" borderId="0" xfId="0" applyFont="1"/>
    <xf numFmtId="179" fontId="0" fillId="0" borderId="0" xfId="0" applyNumberFormat="1"/>
    <xf numFmtId="0" fontId="0" fillId="0" borderId="0" xfId="0" applyAlignment="1">
      <alignment horizontal="right"/>
    </xf>
    <xf numFmtId="176" fontId="28" fillId="0" borderId="0" xfId="0" applyNumberFormat="1" applyFont="1" applyAlignment="1">
      <alignment horizontal="right"/>
    </xf>
    <xf numFmtId="176" fontId="28" fillId="0" borderId="0" xfId="0" applyNumberFormat="1" applyFont="1"/>
    <xf numFmtId="0" fontId="2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29" fillId="0" borderId="0" xfId="0" applyNumberFormat="1" applyFont="1" applyAlignment="1">
      <alignment horizontal="center"/>
    </xf>
    <xf numFmtId="0" fontId="29" fillId="0" borderId="0" xfId="0" applyFont="1"/>
    <xf numFmtId="0" fontId="30" fillId="0" borderId="0" xfId="0" applyFont="1"/>
    <xf numFmtId="10" fontId="0" fillId="0" borderId="0" xfId="2" applyNumberFormat="1" applyFont="1"/>
    <xf numFmtId="180" fontId="0" fillId="0" borderId="0" xfId="0" applyNumberFormat="1"/>
    <xf numFmtId="181" fontId="0" fillId="0" borderId="0" xfId="0" applyNumberFormat="1"/>
    <xf numFmtId="0" fontId="31" fillId="0" borderId="0" xfId="0" applyFont="1"/>
    <xf numFmtId="182" fontId="35" fillId="11" borderId="1" xfId="0" applyNumberFormat="1" applyFont="1" applyFill="1" applyBorder="1" applyAlignment="1">
      <alignment horizontal="right" vertical="center" wrapText="1"/>
    </xf>
    <xf numFmtId="183" fontId="35" fillId="11" borderId="1" xfId="0" applyNumberFormat="1" applyFont="1" applyFill="1" applyBorder="1" applyAlignment="1">
      <alignment horizontal="right" vertical="center" wrapText="1"/>
    </xf>
    <xf numFmtId="184" fontId="35" fillId="11" borderId="1" xfId="0" applyNumberFormat="1" applyFont="1" applyFill="1" applyBorder="1" applyAlignment="1">
      <alignment horizontal="right" vertical="center" wrapText="1"/>
    </xf>
    <xf numFmtId="185" fontId="35" fillId="11" borderId="1" xfId="0" applyNumberFormat="1" applyFont="1" applyFill="1" applyBorder="1" applyAlignment="1">
      <alignment horizontal="right" vertical="center" wrapText="1"/>
    </xf>
    <xf numFmtId="0" fontId="35" fillId="12" borderId="1" xfId="0" applyFont="1" applyFill="1" applyBorder="1" applyAlignment="1">
      <alignment horizontal="left" vertical="top" wrapText="1"/>
    </xf>
    <xf numFmtId="186" fontId="35" fillId="11" borderId="1" xfId="0" applyNumberFormat="1" applyFont="1" applyFill="1" applyBorder="1" applyAlignment="1">
      <alignment horizontal="right" vertical="center" wrapText="1"/>
    </xf>
    <xf numFmtId="187" fontId="35" fillId="11" borderId="1" xfId="0" applyNumberFormat="1" applyFont="1" applyFill="1" applyBorder="1" applyAlignment="1">
      <alignment horizontal="right" vertical="center" wrapText="1"/>
    </xf>
    <xf numFmtId="188" fontId="35" fillId="11" borderId="1" xfId="0" applyNumberFormat="1" applyFont="1" applyFill="1" applyBorder="1" applyAlignment="1">
      <alignment horizontal="right" vertical="center" wrapText="1"/>
    </xf>
    <xf numFmtId="189" fontId="35" fillId="11" borderId="1" xfId="0" applyNumberFormat="1" applyFont="1" applyFill="1" applyBorder="1" applyAlignment="1">
      <alignment horizontal="right" vertical="center" wrapText="1"/>
    </xf>
    <xf numFmtId="190" fontId="35" fillId="11" borderId="1" xfId="0" applyNumberFormat="1" applyFont="1" applyFill="1" applyBorder="1" applyAlignment="1">
      <alignment horizontal="right" vertical="center" wrapText="1"/>
    </xf>
    <xf numFmtId="191" fontId="35" fillId="11" borderId="1" xfId="0" applyNumberFormat="1" applyFont="1" applyFill="1" applyBorder="1" applyAlignment="1">
      <alignment horizontal="right" vertical="center" wrapText="1"/>
    </xf>
    <xf numFmtId="0" fontId="35" fillId="12" borderId="1" xfId="0" applyFont="1" applyFill="1" applyBorder="1" applyAlignment="1">
      <alignment horizontal="left" vertical="center" wrapText="1"/>
    </xf>
    <xf numFmtId="0" fontId="35" fillId="12" borderId="2" xfId="0" applyFont="1" applyFill="1" applyBorder="1" applyAlignment="1">
      <alignment horizontal="left" vertical="center" wrapText="1"/>
    </xf>
    <xf numFmtId="0" fontId="38" fillId="14" borderId="3" xfId="0" applyFont="1" applyFill="1" applyBorder="1" applyAlignment="1">
      <alignment horizontal="center" vertical="center" wrapText="1"/>
    </xf>
    <xf numFmtId="3" fontId="13" fillId="0" borderId="0" xfId="1" applyNumberFormat="1" applyFont="1" applyAlignment="1">
      <alignment horizontal="center"/>
    </xf>
    <xf numFmtId="0" fontId="32" fillId="0" borderId="0" xfId="0" applyFont="1" applyAlignment="1">
      <alignment horizontal="left" vertical="center" wrapText="1"/>
    </xf>
    <xf numFmtId="0" fontId="38" fillId="14" borderId="4" xfId="0" applyFont="1" applyFill="1" applyBorder="1" applyAlignment="1">
      <alignment horizontal="center" vertical="center" wrapText="1"/>
    </xf>
    <xf numFmtId="0" fontId="38" fillId="14" borderId="3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35" fillId="12" borderId="2" xfId="0" applyFont="1" applyFill="1" applyBorder="1" applyAlignment="1">
      <alignment horizontal="left" vertical="top" wrapText="1"/>
    </xf>
    <xf numFmtId="0" fontId="32" fillId="0" borderId="0" xfId="0" applyFont="1" applyAlignment="1">
      <alignment horizontal="left" vertical="center"/>
    </xf>
    <xf numFmtId="0" fontId="35" fillId="15" borderId="6" xfId="0" applyFont="1" applyFill="1" applyBorder="1" applyAlignment="1">
      <alignment horizontal="center" vertical="center" wrapText="1"/>
    </xf>
    <xf numFmtId="0" fontId="35" fillId="15" borderId="5" xfId="0" applyFont="1" applyFill="1" applyBorder="1" applyAlignment="1">
      <alignment horizontal="center" vertical="center" wrapText="1"/>
    </xf>
  </cellXfs>
  <cellStyles count="3">
    <cellStyle name="百分比 2" xfId="2" xr:uid="{50D870B3-969A-1643-AA29-A840499B9073}"/>
    <cellStyle name="常规" xfId="0" builtinId="0"/>
    <cellStyle name="常规 2" xfId="1" xr:uid="{CAD23988-94EB-B646-83CC-0438A4EF0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101600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64906A39-0730-E0EA-3CE1-234417134AF7}"/>
            </a:ext>
          </a:extLst>
        </xdr:cNvPr>
        <xdr:cNvSpPr>
          <a:spLocks noChangeAspect="1" noChangeArrowheads="1"/>
        </xdr:cNvSpPr>
      </xdr:nvSpPr>
      <xdr:spPr bwMode="auto">
        <a:xfrm>
          <a:off x="259080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101600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8A346D46-BF5A-F99E-C419-96AD72AD3025}"/>
            </a:ext>
          </a:extLst>
        </xdr:cNvPr>
        <xdr:cNvSpPr>
          <a:spLocks noChangeAspect="1" noChangeArrowheads="1"/>
        </xdr:cNvSpPr>
      </xdr:nvSpPr>
      <xdr:spPr bwMode="auto">
        <a:xfrm>
          <a:off x="4254500" y="57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117385</xdr:colOff>
      <xdr:row>23</xdr:row>
      <xdr:rowOff>39461</xdr:rowOff>
    </xdr:from>
    <xdr:to>
      <xdr:col>7</xdr:col>
      <xdr:colOff>252677</xdr:colOff>
      <xdr:row>45</xdr:row>
      <xdr:rowOff>30212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99B602F-8C30-85FA-834C-C51B682F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441" y="4907794"/>
          <a:ext cx="7755292" cy="464741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14112</xdr:rowOff>
    </xdr:from>
    <xdr:to>
      <xdr:col>17</xdr:col>
      <xdr:colOff>81845</xdr:colOff>
      <xdr:row>45</xdr:row>
      <xdr:rowOff>109261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B8AA3D4-F058-D313-9B0C-932223200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9889" y="4826001"/>
          <a:ext cx="7772400" cy="4441371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197555</xdr:colOff>
      <xdr:row>49</xdr:row>
      <xdr:rowOff>112889</xdr:rowOff>
    </xdr:from>
    <xdr:to>
      <xdr:col>7</xdr:col>
      <xdr:colOff>321733</xdr:colOff>
      <xdr:row>72</xdr:row>
      <xdr:rowOff>10482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1903BCB-6427-3405-633A-8A2ECD461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2666" y="10061222"/>
          <a:ext cx="7772400" cy="4441371"/>
        </a:xfrm>
        <a:prstGeom prst="rect">
          <a:avLst/>
        </a:prstGeom>
      </xdr:spPr>
    </xdr:pic>
    <xdr:clientData/>
  </xdr:twoCellAnchor>
  <xdr:twoCellAnchor editAs="oneCell">
    <xdr:from>
      <xdr:col>8</xdr:col>
      <xdr:colOff>56444</xdr:colOff>
      <xdr:row>48</xdr:row>
      <xdr:rowOff>169333</xdr:rowOff>
    </xdr:from>
    <xdr:to>
      <xdr:col>17</xdr:col>
      <xdr:colOff>138289</xdr:colOff>
      <xdr:row>71</xdr:row>
      <xdr:rowOff>66926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1828FE8-8DE0-5257-015D-62081765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56333" y="9920111"/>
          <a:ext cx="7772400" cy="4441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45155</xdr:rowOff>
    </xdr:from>
    <xdr:to>
      <xdr:col>8</xdr:col>
      <xdr:colOff>1063978</xdr:colOff>
      <xdr:row>37</xdr:row>
      <xdr:rowOff>145948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A266137-49C8-ED4B-8538-F026B33A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3143955"/>
          <a:ext cx="7820378" cy="4571193"/>
        </a:xfrm>
        <a:prstGeom prst="rect">
          <a:avLst/>
        </a:prstGeom>
      </xdr:spPr>
    </xdr:pic>
    <xdr:clientData/>
  </xdr:twoCellAnchor>
  <xdr:twoCellAnchor editAs="oneCell">
    <xdr:from>
      <xdr:col>9</xdr:col>
      <xdr:colOff>691442</xdr:colOff>
      <xdr:row>15</xdr:row>
      <xdr:rowOff>0</xdr:rowOff>
    </xdr:from>
    <xdr:to>
      <xdr:col>21</xdr:col>
      <xdr:colOff>162275</xdr:colOff>
      <xdr:row>37</xdr:row>
      <xdr:rowOff>148771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F48B690-9007-5640-80EF-D31C0FB9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7442" y="3098800"/>
          <a:ext cx="8538633" cy="46191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vienchan/Library/Mobile%20Documents/com~apple~CloudDocs/Documents/PhD/Study%20materials/Decision%20modelling%20handbook/Ex35sol.xls" TargetMode="External"/><Relationship Id="rId1" Type="http://schemas.openxmlformats.org/officeDocument/2006/relationships/externalLinkPath" Target="/Users/vivienchan/Library/Mobile%20Documents/com~apple~CloudDocs/Documents/PhD/Study%20materials/Decision%20modelling%20handbook/Ex35so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ifanli/Desktop/CEA%20Project/SCAN-%20WP3%20-%20Esketamine%20CEA%20model%20(for%20Yifan)/Model_DSA_PSA.xlsm" TargetMode="External"/><Relationship Id="rId1" Type="http://schemas.openxmlformats.org/officeDocument/2006/relationships/externalLinkPath" Target="/Users/yifanli/Desktop/CEA%20Project/SCAN-%20WP3%20-%20Esketamine%20CEA%20model%20(for%20Yifan)/Model_DSA_PS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Figure"/>
      <sheetName val="Analysis"/>
      <sheetName val="Parameters"/>
      <sheetName val="Life tables"/>
      <sheetName val="Hazard function"/>
      <sheetName val="Standard"/>
      <sheetName val="NP1"/>
      <sheetName val="Macros"/>
    </sheetNames>
    <sheetDataSet>
      <sheetData sheetId="0" refreshError="1"/>
      <sheetData sheetId="1" refreshError="1"/>
      <sheetData sheetId="2">
        <row r="8">
          <cell r="B8">
            <v>60</v>
          </cell>
        </row>
        <row r="9">
          <cell r="B9">
            <v>0</v>
          </cell>
        </row>
        <row r="11">
          <cell r="B11">
            <v>0.06</v>
          </cell>
        </row>
        <row r="12">
          <cell r="B12">
            <v>1.4999999999999999E-2</v>
          </cell>
        </row>
        <row r="16">
          <cell r="B16">
            <v>0.02</v>
          </cell>
        </row>
        <row r="17">
          <cell r="B17">
            <v>0.02</v>
          </cell>
        </row>
        <row r="18">
          <cell r="B18">
            <v>0.04</v>
          </cell>
        </row>
        <row r="25">
          <cell r="B25">
            <v>4.5597754184620288E-4</v>
          </cell>
        </row>
        <row r="26">
          <cell r="B26">
            <v>1.4536778596632325</v>
          </cell>
        </row>
        <row r="32">
          <cell r="B32">
            <v>0</v>
          </cell>
        </row>
        <row r="33">
          <cell r="B33">
            <v>5294</v>
          </cell>
        </row>
        <row r="34">
          <cell r="B34">
            <v>0</v>
          </cell>
        </row>
        <row r="35">
          <cell r="B35">
            <v>394</v>
          </cell>
        </row>
        <row r="41">
          <cell r="B41">
            <v>0.85</v>
          </cell>
        </row>
        <row r="42">
          <cell r="B42">
            <v>0.75</v>
          </cell>
        </row>
        <row r="43">
          <cell r="B43">
            <v>0.3</v>
          </cell>
        </row>
      </sheetData>
      <sheetData sheetId="3">
        <row r="15">
          <cell r="C15">
            <v>35</v>
          </cell>
          <cell r="D15">
            <v>1.5100000000000001E-3</v>
          </cell>
          <cell r="E15">
            <v>9.8999999999999999E-4</v>
          </cell>
        </row>
        <row r="16">
          <cell r="C16">
            <v>45</v>
          </cell>
          <cell r="D16">
            <v>3.9300000000000003E-3</v>
          </cell>
          <cell r="E16">
            <v>2.5999999999999999E-3</v>
          </cell>
        </row>
        <row r="17">
          <cell r="C17">
            <v>55</v>
          </cell>
          <cell r="D17">
            <v>1.09E-2</v>
          </cell>
          <cell r="E17">
            <v>6.7000000000000002E-3</v>
          </cell>
        </row>
        <row r="18">
          <cell r="C18">
            <v>65</v>
          </cell>
          <cell r="D18">
            <v>3.1600000000000003E-2</v>
          </cell>
          <cell r="E18">
            <v>1.9300000000000001E-2</v>
          </cell>
        </row>
        <row r="19">
          <cell r="C19">
            <v>75</v>
          </cell>
          <cell r="D19">
            <v>8.0099999999999991E-2</v>
          </cell>
          <cell r="E19">
            <v>5.3499999999999999E-2</v>
          </cell>
        </row>
        <row r="20">
          <cell r="C20">
            <v>85</v>
          </cell>
          <cell r="D20">
            <v>0.18790000000000001</v>
          </cell>
          <cell r="E20">
            <v>0.15480000000000002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structure"/>
      <sheetName val="Parameters"/>
      <sheetName val="Standard care"/>
      <sheetName val="ESK_base-case"/>
      <sheetName val="ESK_relapse"/>
      <sheetName val="ESK_reduced"/>
      <sheetName val="COM"/>
      <sheetName val="AUG"/>
      <sheetName val="PSY(m)"/>
      <sheetName val="PSY(c)"/>
      <sheetName val="rTMS"/>
      <sheetName val="Results_Matrix"/>
      <sheetName val="Results_DSA"/>
      <sheetName val="Results_PSA"/>
      <sheetName val="CEAC"/>
      <sheetName val="Price_reduction"/>
    </sheetNames>
    <sheetDataSet>
      <sheetData sheetId="0"/>
      <sheetData sheetId="1">
        <row r="2">
          <cell r="B2">
            <v>4</v>
          </cell>
        </row>
        <row r="3">
          <cell r="B3" t="str">
            <v>Base-case</v>
          </cell>
        </row>
        <row r="6">
          <cell r="B6">
            <v>1165</v>
          </cell>
        </row>
        <row r="7">
          <cell r="B7">
            <v>1341</v>
          </cell>
        </row>
        <row r="8">
          <cell r="B8">
            <v>1686</v>
          </cell>
        </row>
        <row r="9">
          <cell r="B9">
            <v>405</v>
          </cell>
        </row>
        <row r="10">
          <cell r="B10">
            <v>405</v>
          </cell>
        </row>
        <row r="11">
          <cell r="B11">
            <v>572</v>
          </cell>
        </row>
        <row r="12">
          <cell r="B12">
            <v>13760</v>
          </cell>
        </row>
        <row r="13">
          <cell r="B13">
            <v>6880</v>
          </cell>
        </row>
        <row r="14">
          <cell r="B14">
            <v>3440</v>
          </cell>
        </row>
        <row r="15">
          <cell r="B15">
            <v>25203</v>
          </cell>
        </row>
        <row r="16">
          <cell r="B16">
            <v>12911</v>
          </cell>
        </row>
        <row r="17">
          <cell r="B17">
            <v>6455</v>
          </cell>
        </row>
        <row r="18">
          <cell r="B18">
            <v>54</v>
          </cell>
        </row>
        <row r="19">
          <cell r="B19">
            <v>25</v>
          </cell>
        </row>
        <row r="20">
          <cell r="B20">
            <v>6880</v>
          </cell>
        </row>
        <row r="21">
          <cell r="B21">
            <v>24509</v>
          </cell>
        </row>
        <row r="22">
          <cell r="B22">
            <v>0.85</v>
          </cell>
        </row>
        <row r="23">
          <cell r="B23">
            <v>0.72</v>
          </cell>
        </row>
        <row r="25">
          <cell r="B25">
            <v>0.57999999999999996</v>
          </cell>
        </row>
        <row r="26">
          <cell r="B26">
            <v>0.186</v>
          </cell>
        </row>
        <row r="27">
          <cell r="B27">
            <v>0.19800000000000001</v>
          </cell>
        </row>
        <row r="28">
          <cell r="B28">
            <v>0.28100000000000003</v>
          </cell>
        </row>
        <row r="29">
          <cell r="B29">
            <v>0.125</v>
          </cell>
        </row>
        <row r="30">
          <cell r="B30">
            <v>0.109</v>
          </cell>
        </row>
        <row r="31">
          <cell r="B31">
            <v>0.1</v>
          </cell>
        </row>
        <row r="32">
          <cell r="B32">
            <v>0.35899999999999999</v>
          </cell>
        </row>
        <row r="33">
          <cell r="B33">
            <v>0.126</v>
          </cell>
        </row>
        <row r="34">
          <cell r="B34">
            <v>8.1000000000000003E-2</v>
          </cell>
        </row>
        <row r="35">
          <cell r="B35">
            <v>7.2999999999999995E-2</v>
          </cell>
        </row>
        <row r="36">
          <cell r="B36">
            <v>0.38</v>
          </cell>
        </row>
        <row r="37">
          <cell r="B37">
            <v>0.22800000000000001</v>
          </cell>
        </row>
        <row r="38">
          <cell r="B38">
            <v>1.7720084526103852E-3</v>
          </cell>
        </row>
        <row r="39">
          <cell r="B39">
            <v>9.2187533335574834E-4</v>
          </cell>
        </row>
        <row r="40">
          <cell r="B40">
            <v>7.0661404568217456E-4</v>
          </cell>
        </row>
        <row r="41">
          <cell r="B41">
            <v>5.9003220309550297E-4</v>
          </cell>
        </row>
        <row r="42">
          <cell r="B42">
            <v>5.1396511654133725E-4</v>
          </cell>
        </row>
        <row r="43">
          <cell r="B43">
            <v>2.5000000000000001E-2</v>
          </cell>
        </row>
        <row r="44">
          <cell r="B44">
            <v>1.43</v>
          </cell>
        </row>
        <row r="45">
          <cell r="B45">
            <v>1.35</v>
          </cell>
        </row>
        <row r="46">
          <cell r="B46">
            <v>0.49</v>
          </cell>
        </row>
        <row r="47">
          <cell r="B47">
            <v>0.3</v>
          </cell>
        </row>
        <row r="48">
          <cell r="B48">
            <v>1.54</v>
          </cell>
        </row>
        <row r="49">
          <cell r="B49">
            <v>1.34</v>
          </cell>
        </row>
        <row r="50">
          <cell r="B50">
            <v>1</v>
          </cell>
        </row>
        <row r="51">
          <cell r="B51">
            <v>1</v>
          </cell>
        </row>
        <row r="52">
          <cell r="B52">
            <v>1.3</v>
          </cell>
        </row>
        <row r="53">
          <cell r="B53">
            <v>1.26</v>
          </cell>
        </row>
        <row r="54">
          <cell r="B54">
            <v>1</v>
          </cell>
        </row>
        <row r="55">
          <cell r="B55">
            <v>1</v>
          </cell>
        </row>
        <row r="56">
          <cell r="B56">
            <v>0.79</v>
          </cell>
        </row>
        <row r="57">
          <cell r="B57">
            <v>0.79</v>
          </cell>
        </row>
        <row r="58">
          <cell r="B58">
            <v>1.02</v>
          </cell>
        </row>
        <row r="59">
          <cell r="B59">
            <v>1.02</v>
          </cell>
        </row>
        <row r="60">
          <cell r="B60">
            <v>1.92</v>
          </cell>
        </row>
        <row r="61">
          <cell r="B61">
            <v>1.8</v>
          </cell>
        </row>
        <row r="62">
          <cell r="B62">
            <v>0.85</v>
          </cell>
        </row>
        <row r="63">
          <cell r="B63">
            <v>0.85</v>
          </cell>
        </row>
        <row r="64">
          <cell r="B64">
            <v>1.83</v>
          </cell>
        </row>
        <row r="65">
          <cell r="B65">
            <v>2.76</v>
          </cell>
        </row>
        <row r="66">
          <cell r="B66">
            <v>0.82</v>
          </cell>
        </row>
        <row r="67">
          <cell r="B67">
            <v>0.66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>
            <v>50000</v>
          </cell>
        </row>
      </sheetData>
      <sheetData sheetId="15">
        <row r="2">
          <cell r="B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7670-C654-5940-90CA-5AA84D77DD85}">
  <sheetPr codeName="Sheet3"/>
  <dimension ref="A1:M61"/>
  <sheetViews>
    <sheetView zoomScale="36" zoomScaleNormal="50" workbookViewId="0">
      <selection activeCell="M22" activeCellId="1" sqref="D22 M22"/>
    </sheetView>
  </sheetViews>
  <sheetFormatPr baseColWidth="10" defaultColWidth="9.1640625" defaultRowHeight="16"/>
  <cols>
    <col min="1" max="1" width="21.83203125" style="3" bestFit="1" customWidth="1"/>
    <col min="2" max="2" width="12.1640625" style="5" customWidth="1"/>
    <col min="3" max="3" width="21.83203125" style="5" customWidth="1"/>
    <col min="4" max="4" width="21" style="5" customWidth="1"/>
    <col min="5" max="5" width="13.1640625" style="5" customWidth="1"/>
    <col min="6" max="6" width="18" style="5" customWidth="1"/>
    <col min="7" max="8" width="14.33203125" style="5" customWidth="1"/>
    <col min="9" max="9" width="18.1640625" style="3" customWidth="1"/>
    <col min="10" max="12" width="9.1640625" style="3"/>
    <col min="13" max="13" width="18" style="3" customWidth="1"/>
    <col min="14" max="16384" width="9.1640625" style="3"/>
  </cols>
  <sheetData>
    <row r="1" spans="1:9" ht="17">
      <c r="A1" s="1" t="s">
        <v>8</v>
      </c>
      <c r="B1" s="1" t="s">
        <v>21</v>
      </c>
      <c r="C1" s="1" t="s">
        <v>9</v>
      </c>
      <c r="D1" s="1" t="s">
        <v>10</v>
      </c>
      <c r="E1" s="2" t="s">
        <v>22</v>
      </c>
      <c r="F1" s="1" t="s">
        <v>1</v>
      </c>
      <c r="G1" s="1" t="s">
        <v>24</v>
      </c>
      <c r="H1" s="1" t="s">
        <v>29</v>
      </c>
      <c r="I1" s="1" t="s">
        <v>25</v>
      </c>
    </row>
    <row r="2" spans="1:9" ht="17">
      <c r="A2" s="4" t="s">
        <v>12</v>
      </c>
      <c r="B2" s="5">
        <v>1.22</v>
      </c>
      <c r="C2" s="5">
        <v>1.01</v>
      </c>
      <c r="D2" s="5">
        <v>1.28</v>
      </c>
      <c r="E2" s="5" t="s">
        <v>11</v>
      </c>
      <c r="F2" s="5" t="s">
        <v>7</v>
      </c>
      <c r="G2" s="5" t="s">
        <v>33</v>
      </c>
      <c r="H2" s="6" t="s">
        <v>31</v>
      </c>
      <c r="I2" s="5" t="s">
        <v>26</v>
      </c>
    </row>
    <row r="3" spans="1:9" ht="17">
      <c r="A3" s="4" t="s">
        <v>13</v>
      </c>
      <c r="B3" s="5">
        <v>2.5</v>
      </c>
      <c r="C3" s="5">
        <v>0.6</v>
      </c>
      <c r="D3" s="5">
        <v>10.34</v>
      </c>
      <c r="E3" s="5" t="s">
        <v>11</v>
      </c>
      <c r="F3" s="5" t="s">
        <v>7</v>
      </c>
      <c r="G3" s="5" t="s">
        <v>34</v>
      </c>
      <c r="H3" s="5" t="s">
        <v>31</v>
      </c>
      <c r="I3" s="5" t="s">
        <v>26</v>
      </c>
    </row>
    <row r="4" spans="1:9" ht="17">
      <c r="A4" s="4" t="s">
        <v>14</v>
      </c>
      <c r="B4" s="5">
        <v>1.27</v>
      </c>
      <c r="C4" s="5">
        <v>1.07</v>
      </c>
      <c r="D4" s="5">
        <v>1.52</v>
      </c>
      <c r="E4" s="5" t="s">
        <v>11</v>
      </c>
      <c r="F4" s="5" t="s">
        <v>7</v>
      </c>
      <c r="G4" s="5" t="s">
        <v>28</v>
      </c>
      <c r="H4" s="6" t="s">
        <v>31</v>
      </c>
      <c r="I4" s="5" t="s">
        <v>26</v>
      </c>
    </row>
    <row r="5" spans="1:9" ht="17">
      <c r="A5" s="4" t="s">
        <v>15</v>
      </c>
      <c r="B5" s="5">
        <v>1.24</v>
      </c>
      <c r="C5" s="5">
        <v>1.01</v>
      </c>
      <c r="D5" s="5">
        <v>1.52</v>
      </c>
      <c r="E5" s="5" t="s">
        <v>11</v>
      </c>
      <c r="F5" s="5" t="s">
        <v>7</v>
      </c>
      <c r="G5" s="5" t="s">
        <v>33</v>
      </c>
      <c r="H5" s="6" t="s">
        <v>31</v>
      </c>
      <c r="I5" s="5" t="s">
        <v>26</v>
      </c>
    </row>
    <row r="6" spans="1:9" ht="17">
      <c r="A6" s="4" t="s">
        <v>16</v>
      </c>
      <c r="B6" s="5">
        <v>1.7</v>
      </c>
      <c r="C6" s="5">
        <v>1.03</v>
      </c>
      <c r="D6" s="5">
        <v>2.78</v>
      </c>
      <c r="E6" s="5" t="s">
        <v>11</v>
      </c>
      <c r="F6" s="5" t="s">
        <v>23</v>
      </c>
      <c r="G6" s="5" t="s">
        <v>5</v>
      </c>
      <c r="H6" s="5" t="s">
        <v>30</v>
      </c>
      <c r="I6" s="5" t="s">
        <v>26</v>
      </c>
    </row>
    <row r="7" spans="1:9" ht="17">
      <c r="A7" s="4" t="s">
        <v>17</v>
      </c>
      <c r="B7" s="5">
        <v>1.22</v>
      </c>
      <c r="C7" s="5">
        <v>0.97</v>
      </c>
      <c r="D7" s="5">
        <v>1.54</v>
      </c>
      <c r="E7" s="5" t="s">
        <v>11</v>
      </c>
      <c r="F7" s="5" t="s">
        <v>23</v>
      </c>
      <c r="G7" s="5" t="s">
        <v>6</v>
      </c>
      <c r="H7" s="5" t="s">
        <v>30</v>
      </c>
      <c r="I7" s="5" t="s">
        <v>26</v>
      </c>
    </row>
    <row r="8" spans="1:9" ht="17">
      <c r="A8" s="4" t="s">
        <v>18</v>
      </c>
      <c r="B8" s="5">
        <v>1.75</v>
      </c>
      <c r="C8" s="5">
        <v>0.87</v>
      </c>
      <c r="D8" s="5">
        <v>3.52</v>
      </c>
      <c r="E8" s="5" t="s">
        <v>11</v>
      </c>
      <c r="F8" s="5" t="s">
        <v>7</v>
      </c>
      <c r="G8" s="5" t="s">
        <v>33</v>
      </c>
      <c r="H8" s="6" t="s">
        <v>31</v>
      </c>
      <c r="I8" s="5" t="s">
        <v>26</v>
      </c>
    </row>
    <row r="9" spans="1:9" ht="17">
      <c r="A9" s="4" t="s">
        <v>19</v>
      </c>
      <c r="B9" s="5">
        <v>1.71</v>
      </c>
      <c r="C9" s="5">
        <v>0.97</v>
      </c>
      <c r="D9" s="5">
        <v>3</v>
      </c>
      <c r="E9" s="5" t="s">
        <v>11</v>
      </c>
      <c r="F9" s="5" t="s">
        <v>7</v>
      </c>
      <c r="G9" s="5" t="s">
        <v>34</v>
      </c>
      <c r="H9" s="5" t="s">
        <v>31</v>
      </c>
      <c r="I9" s="5" t="s">
        <v>26</v>
      </c>
    </row>
    <row r="10" spans="1:9" ht="17">
      <c r="A10" s="4" t="s">
        <v>20</v>
      </c>
      <c r="B10" s="5">
        <v>6</v>
      </c>
      <c r="C10" s="5">
        <v>0.87</v>
      </c>
      <c r="D10" s="5">
        <v>41.21</v>
      </c>
      <c r="E10" s="5" t="s">
        <v>11</v>
      </c>
      <c r="F10" s="5" t="s">
        <v>7</v>
      </c>
      <c r="G10" s="5" t="s">
        <v>32</v>
      </c>
      <c r="H10" s="5" t="s">
        <v>30</v>
      </c>
      <c r="I10" s="5" t="s">
        <v>26</v>
      </c>
    </row>
    <row r="11" spans="1:9" s="35" customFormat="1" ht="17">
      <c r="A11" s="33" t="s">
        <v>111</v>
      </c>
      <c r="B11" s="34">
        <v>1.56</v>
      </c>
      <c r="C11" s="34">
        <v>1.05</v>
      </c>
      <c r="D11" s="34">
        <v>2.5499999999999998</v>
      </c>
      <c r="E11" s="34" t="s">
        <v>112</v>
      </c>
      <c r="F11" s="34" t="s">
        <v>7</v>
      </c>
      <c r="G11" s="34" t="s">
        <v>113</v>
      </c>
      <c r="H11" s="34" t="s">
        <v>31</v>
      </c>
      <c r="I11" s="34" t="s">
        <v>26</v>
      </c>
    </row>
    <row r="12" spans="1:9" ht="17">
      <c r="A12" s="4" t="s">
        <v>12</v>
      </c>
      <c r="B12" s="5">
        <v>1.42</v>
      </c>
      <c r="C12" s="5">
        <v>1.03</v>
      </c>
      <c r="D12" s="5">
        <v>1.94</v>
      </c>
      <c r="E12" s="5" t="s">
        <v>11</v>
      </c>
      <c r="F12" s="5" t="s">
        <v>7</v>
      </c>
      <c r="G12" s="5" t="s">
        <v>33</v>
      </c>
      <c r="H12" s="6" t="s">
        <v>31</v>
      </c>
      <c r="I12" s="5" t="s">
        <v>27</v>
      </c>
    </row>
    <row r="13" spans="1:9" ht="17">
      <c r="A13" s="4" t="s">
        <v>13</v>
      </c>
      <c r="B13" s="5">
        <v>2.5</v>
      </c>
      <c r="C13" s="5">
        <v>0.31</v>
      </c>
      <c r="D13" s="5">
        <v>19.989999999999998</v>
      </c>
      <c r="E13" s="5" t="s">
        <v>11</v>
      </c>
      <c r="F13" s="5" t="s">
        <v>7</v>
      </c>
      <c r="G13" s="5" t="s">
        <v>34</v>
      </c>
      <c r="H13" s="6" t="s">
        <v>31</v>
      </c>
      <c r="I13" s="5" t="s">
        <v>27</v>
      </c>
    </row>
    <row r="14" spans="1:9" ht="17">
      <c r="A14" s="4" t="s">
        <v>14</v>
      </c>
      <c r="B14" s="5">
        <v>1.07</v>
      </c>
      <c r="C14" s="5">
        <v>0.86</v>
      </c>
      <c r="D14" s="5">
        <v>1.33</v>
      </c>
      <c r="E14" s="5" t="s">
        <v>11</v>
      </c>
      <c r="F14" s="5" t="s">
        <v>7</v>
      </c>
      <c r="G14" s="5" t="s">
        <v>28</v>
      </c>
      <c r="H14" s="6" t="s">
        <v>31</v>
      </c>
      <c r="I14" s="5" t="s">
        <v>27</v>
      </c>
    </row>
    <row r="15" spans="1:9" ht="17">
      <c r="A15" s="4" t="s">
        <v>15</v>
      </c>
      <c r="B15" s="5">
        <v>1.62</v>
      </c>
      <c r="C15" s="5">
        <v>1.17</v>
      </c>
      <c r="D15" s="5">
        <v>2.2400000000000002</v>
      </c>
      <c r="E15" s="5" t="s">
        <v>11</v>
      </c>
      <c r="F15" s="5" t="s">
        <v>7</v>
      </c>
      <c r="G15" s="5" t="s">
        <v>33</v>
      </c>
      <c r="H15" s="6" t="s">
        <v>31</v>
      </c>
      <c r="I15" s="5" t="s">
        <v>27</v>
      </c>
    </row>
    <row r="16" spans="1:9" ht="17">
      <c r="A16" s="4" t="s">
        <v>16</v>
      </c>
      <c r="B16" s="5">
        <v>2.38</v>
      </c>
      <c r="C16" s="5">
        <v>1.0900000000000001</v>
      </c>
      <c r="D16" s="5">
        <v>5.16</v>
      </c>
      <c r="E16" s="5" t="s">
        <v>11</v>
      </c>
      <c r="F16" s="5" t="s">
        <v>23</v>
      </c>
      <c r="G16" s="5" t="s">
        <v>5</v>
      </c>
      <c r="H16" s="5" t="s">
        <v>30</v>
      </c>
      <c r="I16" s="5" t="s">
        <v>27</v>
      </c>
    </row>
    <row r="17" spans="1:13" ht="17">
      <c r="A17" s="4" t="s">
        <v>17</v>
      </c>
      <c r="B17" s="5">
        <v>1.21</v>
      </c>
      <c r="C17" s="5">
        <v>0.88</v>
      </c>
      <c r="D17" s="5">
        <v>1.65</v>
      </c>
      <c r="E17" s="5" t="s">
        <v>11</v>
      </c>
      <c r="F17" s="5" t="s">
        <v>23</v>
      </c>
      <c r="G17" s="5" t="s">
        <v>6</v>
      </c>
      <c r="H17" s="5" t="s">
        <v>30</v>
      </c>
      <c r="I17" s="5" t="s">
        <v>27</v>
      </c>
    </row>
    <row r="18" spans="1:13" ht="17">
      <c r="A18" s="4" t="s">
        <v>18</v>
      </c>
      <c r="B18" s="5">
        <v>1.8</v>
      </c>
      <c r="C18" s="5">
        <v>0.69</v>
      </c>
      <c r="D18" s="5">
        <v>4.72</v>
      </c>
      <c r="E18" s="5" t="s">
        <v>11</v>
      </c>
      <c r="F18" s="5" t="s">
        <v>7</v>
      </c>
      <c r="G18" s="5" t="s">
        <v>33</v>
      </c>
      <c r="H18" s="6" t="s">
        <v>31</v>
      </c>
      <c r="I18" s="5" t="s">
        <v>27</v>
      </c>
    </row>
    <row r="19" spans="1:13" ht="17">
      <c r="A19" s="4" t="s">
        <v>19</v>
      </c>
      <c r="B19" s="5">
        <v>1.23</v>
      </c>
      <c r="C19" s="5">
        <v>0.77</v>
      </c>
      <c r="D19" s="5">
        <v>1.96</v>
      </c>
      <c r="E19" s="5" t="s">
        <v>11</v>
      </c>
      <c r="F19" s="5" t="s">
        <v>7</v>
      </c>
      <c r="G19" s="5" t="s">
        <v>34</v>
      </c>
      <c r="H19" s="5" t="s">
        <v>31</v>
      </c>
      <c r="I19" s="5" t="s">
        <v>27</v>
      </c>
    </row>
    <row r="20" spans="1:13" s="35" customFormat="1" ht="17">
      <c r="A20" s="33" t="s">
        <v>110</v>
      </c>
      <c r="B20" s="34">
        <v>1.46</v>
      </c>
      <c r="C20" s="34">
        <v>0.85</v>
      </c>
      <c r="D20" s="34">
        <v>2.91</v>
      </c>
      <c r="E20" s="34" t="s">
        <v>112</v>
      </c>
      <c r="F20" s="34" t="s">
        <v>7</v>
      </c>
      <c r="G20" s="34" t="s">
        <v>113</v>
      </c>
      <c r="H20" s="34" t="s">
        <v>31</v>
      </c>
      <c r="I20" s="34" t="s">
        <v>27</v>
      </c>
    </row>
    <row r="22" spans="1:13">
      <c r="D22" s="31" t="s">
        <v>144</v>
      </c>
      <c r="M22" s="31" t="s">
        <v>145</v>
      </c>
    </row>
    <row r="24" spans="1:13">
      <c r="C24"/>
    </row>
    <row r="28" spans="1:13">
      <c r="D28"/>
    </row>
    <row r="35" spans="1:1">
      <c r="A35" s="32" t="s">
        <v>143</v>
      </c>
    </row>
    <row r="61" spans="1:1">
      <c r="A61" s="32" t="s">
        <v>146</v>
      </c>
    </row>
  </sheetData>
  <phoneticPr fontId="10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E6B0-E723-D545-B52B-F34A55103CF6}">
  <sheetPr codeName="Sheet4"/>
  <dimension ref="A1:P19"/>
  <sheetViews>
    <sheetView zoomScale="69" workbookViewId="0">
      <selection activeCell="L12" sqref="L12"/>
    </sheetView>
  </sheetViews>
  <sheetFormatPr baseColWidth="10" defaultColWidth="9.1640625" defaultRowHeight="16"/>
  <cols>
    <col min="1" max="1" width="27" style="3" bestFit="1" customWidth="1"/>
    <col min="2" max="2" width="12.33203125" style="5" bestFit="1" customWidth="1"/>
    <col min="3" max="3" width="11.6640625" style="5" bestFit="1" customWidth="1"/>
    <col min="4" max="4" width="12.1640625" style="5" bestFit="1" customWidth="1"/>
    <col min="5" max="5" width="13" style="5" bestFit="1" customWidth="1"/>
    <col min="6" max="6" width="12.33203125" style="5" bestFit="1" customWidth="1"/>
    <col min="7" max="7" width="12.83203125" style="5" bestFit="1" customWidth="1"/>
    <col min="8" max="9" width="14.33203125" style="5" customWidth="1"/>
    <col min="10" max="10" width="18.1640625" style="3" customWidth="1"/>
    <col min="11" max="16384" width="9.1640625" style="3"/>
  </cols>
  <sheetData>
    <row r="1" spans="1:16">
      <c r="A1" s="1" t="s">
        <v>8</v>
      </c>
      <c r="B1" s="1" t="s">
        <v>11</v>
      </c>
      <c r="C1" s="1" t="s">
        <v>50</v>
      </c>
      <c r="D1" s="1" t="s">
        <v>51</v>
      </c>
      <c r="E1" s="1" t="s">
        <v>52</v>
      </c>
      <c r="F1" s="1"/>
      <c r="G1" s="1"/>
      <c r="H1" s="1"/>
      <c r="I1" s="1"/>
      <c r="J1" s="1"/>
    </row>
    <row r="2" spans="1:16" ht="17">
      <c r="A2" s="4" t="s">
        <v>48</v>
      </c>
      <c r="B2" s="5">
        <v>1.3779999999999999</v>
      </c>
      <c r="C2" s="5">
        <v>1.0620000000000001</v>
      </c>
      <c r="D2" s="5">
        <v>1.788</v>
      </c>
      <c r="E2" s="5" t="s">
        <v>26</v>
      </c>
      <c r="I2" s="6"/>
      <c r="J2" s="5"/>
    </row>
    <row r="3" spans="1:16" ht="17">
      <c r="A3" s="4" t="s">
        <v>49</v>
      </c>
      <c r="B3" s="5">
        <v>1.333</v>
      </c>
      <c r="C3" s="5">
        <v>1.06</v>
      </c>
      <c r="D3" s="5">
        <v>1.675</v>
      </c>
      <c r="E3" s="5" t="s">
        <v>26</v>
      </c>
      <c r="J3" s="5"/>
    </row>
    <row r="4" spans="1:16" ht="17">
      <c r="A4" s="4" t="s">
        <v>48</v>
      </c>
      <c r="B4" s="5">
        <v>1.222</v>
      </c>
      <c r="C4" s="5">
        <v>0.88400000000000001</v>
      </c>
      <c r="D4" s="5">
        <v>1.69</v>
      </c>
      <c r="E4" s="5" t="s">
        <v>27</v>
      </c>
      <c r="I4" s="6"/>
      <c r="J4" s="5"/>
    </row>
    <row r="5" spans="1:16" ht="17">
      <c r="A5" s="4" t="s">
        <v>49</v>
      </c>
      <c r="B5" s="5">
        <v>1.6930000000000001</v>
      </c>
      <c r="C5" s="5">
        <v>1.1970000000000001</v>
      </c>
      <c r="D5" s="5">
        <v>2.3929999999999998</v>
      </c>
      <c r="E5" s="5" t="s">
        <v>27</v>
      </c>
      <c r="I5" s="6"/>
      <c r="J5" s="5"/>
    </row>
    <row r="6" spans="1:16">
      <c r="A6" s="4"/>
      <c r="J6" s="5"/>
    </row>
    <row r="7" spans="1:16">
      <c r="A7" s="4"/>
      <c r="J7" s="5"/>
    </row>
    <row r="8" spans="1:16">
      <c r="A8" s="4"/>
      <c r="I8" s="6"/>
      <c r="J8" s="5"/>
    </row>
    <row r="9" spans="1:16">
      <c r="A9" s="4"/>
      <c r="J9" s="5"/>
    </row>
    <row r="10" spans="1:16">
      <c r="A10" s="4"/>
      <c r="J10" s="5"/>
    </row>
    <row r="11" spans="1:16">
      <c r="A11" s="4"/>
      <c r="I11" s="6"/>
      <c r="J11" s="5"/>
    </row>
    <row r="12" spans="1:16">
      <c r="A12" s="4"/>
      <c r="I12" s="6"/>
      <c r="J12" s="5"/>
    </row>
    <row r="13" spans="1:16">
      <c r="A13" s="4"/>
      <c r="I13" s="6"/>
      <c r="J13" s="5"/>
    </row>
    <row r="14" spans="1:16">
      <c r="A14" s="4"/>
      <c r="D14" s="31" t="s">
        <v>144</v>
      </c>
      <c r="I14" s="6"/>
      <c r="J14" s="5"/>
      <c r="P14" s="31" t="s">
        <v>145</v>
      </c>
    </row>
    <row r="15" spans="1:16">
      <c r="A15" s="4"/>
      <c r="J15" s="5"/>
    </row>
    <row r="16" spans="1:16">
      <c r="A16" s="4"/>
      <c r="J16" s="5"/>
    </row>
    <row r="17" spans="1:10">
      <c r="A17" s="4"/>
      <c r="I17" s="6"/>
      <c r="J17" s="5"/>
    </row>
    <row r="18" spans="1:10">
      <c r="A18" s="4"/>
      <c r="J18" s="5"/>
    </row>
    <row r="19" spans="1:10">
      <c r="A19" s="4"/>
      <c r="J19" s="5"/>
    </row>
  </sheetData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5B4A-7BCC-3345-97AA-8E3D73D6CBA1}">
  <sheetPr codeName="Sheet5"/>
  <dimension ref="A1:U73"/>
  <sheetViews>
    <sheetView topLeftCell="C22" workbookViewId="0">
      <selection activeCell="F40" sqref="F40"/>
    </sheetView>
  </sheetViews>
  <sheetFormatPr baseColWidth="10" defaultRowHeight="16"/>
  <cols>
    <col min="1" max="1" width="30" bestFit="1" customWidth="1"/>
    <col min="2" max="2" width="16.1640625" style="8" customWidth="1"/>
    <col min="3" max="3" width="20.1640625" style="8" customWidth="1"/>
    <col min="4" max="4" width="5.5" customWidth="1"/>
    <col min="5" max="5" width="37.1640625" bestFit="1" customWidth="1"/>
    <col min="6" max="6" width="13.33203125" style="8" customWidth="1"/>
    <col min="7" max="7" width="15.5" customWidth="1"/>
    <col min="8" max="8" width="27.5" style="16" bestFit="1" customWidth="1"/>
    <col min="9" max="9" width="20.83203125" style="8" bestFit="1" customWidth="1"/>
    <col min="10" max="10" width="5.1640625" customWidth="1"/>
    <col min="11" max="11" width="22.83203125" bestFit="1" customWidth="1"/>
    <col min="12" max="12" width="16.5" customWidth="1"/>
    <col min="13" max="13" width="4.83203125" customWidth="1"/>
    <col min="14" max="14" width="21.5" bestFit="1" customWidth="1"/>
    <col min="15" max="15" width="15.83203125" style="8" customWidth="1"/>
    <col min="16" max="16" width="17" customWidth="1"/>
    <col min="17" max="17" width="15" customWidth="1"/>
    <col min="18" max="18" width="16" style="8" customWidth="1"/>
    <col min="19" max="19" width="15.33203125" customWidth="1"/>
    <col min="20" max="20" width="36.33203125" customWidth="1"/>
    <col min="21" max="21" width="15.6640625" customWidth="1"/>
  </cols>
  <sheetData>
    <row r="1" spans="1:21">
      <c r="A1" s="7" t="s">
        <v>36</v>
      </c>
      <c r="B1" s="9" t="s">
        <v>37</v>
      </c>
      <c r="C1" s="7" t="s">
        <v>36</v>
      </c>
      <c r="D1" s="17" t="s">
        <v>57</v>
      </c>
    </row>
    <row r="2" spans="1:21">
      <c r="A2" t="s">
        <v>35</v>
      </c>
      <c r="B2" s="8">
        <v>1304</v>
      </c>
      <c r="C2" t="s">
        <v>62</v>
      </c>
      <c r="D2" s="8">
        <v>28</v>
      </c>
      <c r="F2" s="8" t="s">
        <v>115</v>
      </c>
      <c r="G2" s="8">
        <v>7.2774999999999999</v>
      </c>
      <c r="H2" s="8" t="s">
        <v>116</v>
      </c>
      <c r="I2" s="8">
        <v>400</v>
      </c>
    </row>
    <row r="3" spans="1:21">
      <c r="A3" t="s">
        <v>56</v>
      </c>
      <c r="B3" s="8">
        <v>0.35</v>
      </c>
      <c r="C3" t="s">
        <v>63</v>
      </c>
      <c r="D3" s="8">
        <v>5</v>
      </c>
    </row>
    <row r="4" spans="1:21">
      <c r="A4" t="s">
        <v>61</v>
      </c>
      <c r="B4" s="8">
        <v>0.34</v>
      </c>
      <c r="C4" t="s">
        <v>64</v>
      </c>
      <c r="D4" s="8">
        <v>15</v>
      </c>
    </row>
    <row r="5" spans="1:21">
      <c r="A5" t="s">
        <v>60</v>
      </c>
      <c r="B5" s="8">
        <v>0.7752</v>
      </c>
      <c r="C5" t="s">
        <v>65</v>
      </c>
      <c r="D5" s="8">
        <v>30</v>
      </c>
    </row>
    <row r="6" spans="1:21">
      <c r="A6" t="s">
        <v>68</v>
      </c>
      <c r="B6" s="8">
        <v>1</v>
      </c>
      <c r="C6" t="s">
        <v>69</v>
      </c>
      <c r="D6" s="8">
        <v>1.5</v>
      </c>
    </row>
    <row r="7" spans="1:21">
      <c r="A7" t="s">
        <v>91</v>
      </c>
      <c r="B7" s="8">
        <v>0.1583</v>
      </c>
      <c r="C7" t="s">
        <v>92</v>
      </c>
      <c r="D7" s="8">
        <v>25</v>
      </c>
    </row>
    <row r="8" spans="1:21">
      <c r="A8" t="s">
        <v>100</v>
      </c>
      <c r="B8" s="8">
        <v>4.2041000000000004</v>
      </c>
      <c r="C8" t="s">
        <v>114</v>
      </c>
      <c r="D8" s="8">
        <v>20</v>
      </c>
    </row>
    <row r="10" spans="1:21">
      <c r="A10" s="12" t="s">
        <v>40</v>
      </c>
      <c r="B10" s="13" t="s">
        <v>4</v>
      </c>
      <c r="C10" s="13" t="s">
        <v>3</v>
      </c>
      <c r="D10" s="7"/>
      <c r="E10" s="18" t="s">
        <v>84</v>
      </c>
      <c r="F10" s="19" t="s">
        <v>17</v>
      </c>
      <c r="G10" s="7"/>
      <c r="H10" s="21" t="s">
        <v>85</v>
      </c>
      <c r="I10" s="22" t="s">
        <v>14</v>
      </c>
      <c r="K10" s="21" t="s">
        <v>88</v>
      </c>
      <c r="L10" s="22" t="s">
        <v>86</v>
      </c>
      <c r="N10" s="21" t="s">
        <v>101</v>
      </c>
      <c r="O10" s="22" t="s">
        <v>13</v>
      </c>
    </row>
    <row r="11" spans="1:21">
      <c r="A11" s="14" t="s">
        <v>58</v>
      </c>
      <c r="B11" s="15"/>
      <c r="C11" s="15"/>
      <c r="D11" s="7"/>
      <c r="E11" t="s">
        <v>77</v>
      </c>
      <c r="F11" s="8">
        <f>15*7</f>
        <v>105</v>
      </c>
      <c r="G11" s="7"/>
      <c r="H11" s="27" t="s">
        <v>72</v>
      </c>
      <c r="I11" s="28"/>
      <c r="K11" s="29" t="s">
        <v>90</v>
      </c>
      <c r="L11" s="28"/>
      <c r="N11" s="29" t="s">
        <v>99</v>
      </c>
      <c r="O11" s="28"/>
    </row>
    <row r="12" spans="1:21">
      <c r="A12" s="10" t="s">
        <v>44</v>
      </c>
      <c r="B12" s="9"/>
      <c r="C12" s="9"/>
      <c r="D12" s="9"/>
      <c r="E12" t="s">
        <v>80</v>
      </c>
      <c r="F12" s="8">
        <f>15*2*7</f>
        <v>210</v>
      </c>
      <c r="G12" s="8"/>
      <c r="H12" s="16" t="s">
        <v>41</v>
      </c>
      <c r="I12" s="8">
        <v>273</v>
      </c>
      <c r="K12" t="s">
        <v>41</v>
      </c>
      <c r="L12" s="8">
        <v>166</v>
      </c>
      <c r="N12" t="s">
        <v>41</v>
      </c>
      <c r="O12" s="8">
        <v>21</v>
      </c>
    </row>
    <row r="13" spans="1:21">
      <c r="A13" t="s">
        <v>41</v>
      </c>
      <c r="B13" s="8">
        <v>115</v>
      </c>
      <c r="C13" s="8">
        <v>58</v>
      </c>
      <c r="D13" s="9"/>
      <c r="E13" t="s">
        <v>79</v>
      </c>
      <c r="F13" s="8">
        <f>F11*2+F12*10</f>
        <v>2310</v>
      </c>
      <c r="G13" s="8"/>
      <c r="H13" t="s">
        <v>73</v>
      </c>
      <c r="I13" s="8">
        <v>1.4</v>
      </c>
      <c r="K13" t="s">
        <v>73</v>
      </c>
      <c r="L13" s="8">
        <v>150</v>
      </c>
      <c r="N13" t="s">
        <v>73</v>
      </c>
      <c r="O13" s="8">
        <v>80</v>
      </c>
    </row>
    <row r="14" spans="1:21">
      <c r="A14" t="s">
        <v>42</v>
      </c>
      <c r="B14" s="8">
        <f>28*2*2</f>
        <v>112</v>
      </c>
      <c r="C14" s="8">
        <f>28*2*2</f>
        <v>112</v>
      </c>
      <c r="D14" s="9"/>
      <c r="E14" t="s">
        <v>81</v>
      </c>
      <c r="F14" s="8">
        <f>F13/12/7</f>
        <v>27.5</v>
      </c>
      <c r="G14" s="8"/>
      <c r="H14" s="16" t="s">
        <v>74</v>
      </c>
      <c r="I14" s="8">
        <f>I13*28</f>
        <v>39.199999999999996</v>
      </c>
      <c r="K14" s="16" t="s">
        <v>74</v>
      </c>
      <c r="L14" s="8">
        <f>L13*28</f>
        <v>4200</v>
      </c>
      <c r="N14" s="16" t="s">
        <v>74</v>
      </c>
      <c r="O14" s="8">
        <f>O13*28</f>
        <v>2240</v>
      </c>
    </row>
    <row r="15" spans="1:21">
      <c r="A15" t="s">
        <v>43</v>
      </c>
      <c r="B15" s="8">
        <f>B14*4</f>
        <v>448</v>
      </c>
      <c r="C15" s="8">
        <f>C14*4</f>
        <v>448</v>
      </c>
      <c r="D15" s="9"/>
      <c r="E15" t="s">
        <v>43</v>
      </c>
      <c r="F15" s="8">
        <f>F13/12*4</f>
        <v>770</v>
      </c>
      <c r="G15" s="8"/>
      <c r="H15" s="16" t="s">
        <v>38</v>
      </c>
      <c r="I15" s="8">
        <f>I14/cariprazine_udose*cariprazine_ucost</f>
        <v>26.133333333333329</v>
      </c>
      <c r="K15" s="16" t="s">
        <v>38</v>
      </c>
      <c r="L15" s="8">
        <f>L14/quetiapine_udose*quetiapine_ucost</f>
        <v>26.5944</v>
      </c>
      <c r="N15" s="16" t="s">
        <v>38</v>
      </c>
      <c r="O15" s="8">
        <f>O14/ziprasidone_udose*ziprasidone_ucost</f>
        <v>470.85920000000004</v>
      </c>
    </row>
    <row r="16" spans="1:21">
      <c r="A16" t="s">
        <v>38</v>
      </c>
      <c r="B16" s="8">
        <f>B15/esketamine_udose*esketamine_ucost</f>
        <v>20864</v>
      </c>
      <c r="C16" s="8">
        <f>C15/esketamine_udose*esketamine_ucost</f>
        <v>20864</v>
      </c>
      <c r="D16" s="7"/>
      <c r="H16" t="s">
        <v>39</v>
      </c>
      <c r="I16" s="8">
        <f>I12/SUM(I12,I19)</f>
        <v>0.50183823529411764</v>
      </c>
      <c r="K16" t="s">
        <v>39</v>
      </c>
      <c r="L16" s="8">
        <f>L12/SUM(L12,L19)</f>
        <v>0.50764525993883791</v>
      </c>
      <c r="N16" t="s">
        <v>39</v>
      </c>
      <c r="O16" s="8">
        <f>O12/SUM(O12,O19)</f>
        <v>0.52500000000000002</v>
      </c>
      <c r="U16" s="8"/>
    </row>
    <row r="17" spans="1:21">
      <c r="A17" t="s">
        <v>39</v>
      </c>
      <c r="B17" s="8">
        <f>B13/SUM(B13,B20)</f>
        <v>0.50218340611353707</v>
      </c>
      <c r="C17" s="8">
        <f>C13/SUM(C13,C20)</f>
        <v>0.54205607476635509</v>
      </c>
      <c r="D17" s="7"/>
      <c r="E17" s="16" t="s">
        <v>38</v>
      </c>
      <c r="F17" s="25">
        <f>F15/mirtazapine_udose*mirtazapine_ucost</f>
        <v>17.453333333333337</v>
      </c>
      <c r="H17"/>
      <c r="L17" s="8"/>
      <c r="U17" s="8"/>
    </row>
    <row r="18" spans="1:21">
      <c r="D18" s="7"/>
      <c r="E18" t="s">
        <v>54</v>
      </c>
      <c r="F18" s="8">
        <v>0.72829999999999995</v>
      </c>
      <c r="H18" s="27" t="s">
        <v>71</v>
      </c>
      <c r="I18" s="28"/>
      <c r="K18" s="29" t="s">
        <v>93</v>
      </c>
      <c r="L18" s="28"/>
      <c r="N18" s="29" t="s">
        <v>102</v>
      </c>
      <c r="O18" s="28"/>
      <c r="T18" s="23"/>
      <c r="U18" s="8"/>
    </row>
    <row r="19" spans="1:21">
      <c r="A19" s="10" t="s">
        <v>45</v>
      </c>
      <c r="D19" s="7"/>
      <c r="E19" s="20"/>
      <c r="F19" s="9"/>
      <c r="H19" s="16" t="s">
        <v>41</v>
      </c>
      <c r="I19" s="8">
        <v>271</v>
      </c>
      <c r="K19" t="s">
        <v>41</v>
      </c>
      <c r="L19" s="8">
        <v>161</v>
      </c>
      <c r="N19" t="s">
        <v>41</v>
      </c>
      <c r="O19" s="8">
        <v>19</v>
      </c>
    </row>
    <row r="20" spans="1:21">
      <c r="A20" t="s">
        <v>41</v>
      </c>
      <c r="B20" s="8">
        <v>114</v>
      </c>
      <c r="C20" s="8">
        <v>49</v>
      </c>
      <c r="D20" s="7"/>
      <c r="H20" t="s">
        <v>73</v>
      </c>
      <c r="I20" s="8">
        <v>2.6</v>
      </c>
      <c r="K20" t="s">
        <v>73</v>
      </c>
      <c r="L20" s="8">
        <v>300</v>
      </c>
      <c r="N20" t="s">
        <v>73</v>
      </c>
      <c r="O20" s="8">
        <v>160</v>
      </c>
    </row>
    <row r="21" spans="1:21">
      <c r="A21" t="s">
        <v>76</v>
      </c>
      <c r="B21" s="8">
        <f>28*2+28*3</f>
        <v>140</v>
      </c>
      <c r="C21" s="8">
        <f>28*2+28*3</f>
        <v>140</v>
      </c>
      <c r="D21" s="7"/>
      <c r="H21" s="16" t="s">
        <v>74</v>
      </c>
      <c r="I21" s="8">
        <f>I20*28</f>
        <v>72.8</v>
      </c>
      <c r="K21" s="16" t="s">
        <v>74</v>
      </c>
      <c r="L21" s="8">
        <f>L20*28</f>
        <v>8400</v>
      </c>
      <c r="N21" s="16" t="s">
        <v>74</v>
      </c>
      <c r="O21" s="8">
        <f>O20*28</f>
        <v>4480</v>
      </c>
    </row>
    <row r="22" spans="1:21">
      <c r="A22" t="s">
        <v>70</v>
      </c>
      <c r="B22" s="8">
        <f>28*3*2</f>
        <v>168</v>
      </c>
      <c r="C22" s="8">
        <f>28*3*2</f>
        <v>168</v>
      </c>
      <c r="E22" s="16"/>
      <c r="H22" s="16" t="s">
        <v>38</v>
      </c>
      <c r="I22" s="8">
        <f>I21/cariprazine_udose*cariprazine_ucost</f>
        <v>48.533333333333331</v>
      </c>
      <c r="K22" s="16" t="s">
        <v>38</v>
      </c>
      <c r="L22" s="8">
        <f>L21/quetiapine_udose*quetiapine_ucost</f>
        <v>53.188800000000001</v>
      </c>
      <c r="N22" s="16" t="s">
        <v>38</v>
      </c>
      <c r="O22" s="8">
        <f>O21/ziprasidone_udose*ziprasidone_ucost</f>
        <v>941.71840000000009</v>
      </c>
    </row>
    <row r="23" spans="1:21">
      <c r="A23" t="s">
        <v>43</v>
      </c>
      <c r="B23" s="8">
        <f>B21+B22*3</f>
        <v>644</v>
      </c>
      <c r="C23" s="8">
        <f>C21+C22*3</f>
        <v>644</v>
      </c>
      <c r="E23" s="18" t="s">
        <v>5</v>
      </c>
      <c r="F23" s="19" t="s">
        <v>78</v>
      </c>
      <c r="H23" t="s">
        <v>39</v>
      </c>
      <c r="I23" s="8">
        <f>I19/SUM(I12,I19)</f>
        <v>0.49816176470588236</v>
      </c>
      <c r="K23" t="s">
        <v>39</v>
      </c>
      <c r="L23" s="8">
        <f>L19/SUM(L12,L19)</f>
        <v>0.49235474006116209</v>
      </c>
      <c r="N23" t="s">
        <v>39</v>
      </c>
      <c r="O23" s="8">
        <f>O19/SUM(O12,O19)</f>
        <v>0.47499999999999998</v>
      </c>
    </row>
    <row r="24" spans="1:21">
      <c r="A24" t="s">
        <v>38</v>
      </c>
      <c r="B24" s="8">
        <f>B23/esketamine_udose*esketamine_ucost</f>
        <v>29992</v>
      </c>
      <c r="C24" s="8">
        <f>C23/esketamine_udose*esketamine_ucost</f>
        <v>29992</v>
      </c>
      <c r="E24" t="s">
        <v>42</v>
      </c>
      <c r="F24" s="8">
        <f>60*7</f>
        <v>420</v>
      </c>
      <c r="H24"/>
      <c r="L24" s="8"/>
    </row>
    <row r="25" spans="1:21">
      <c r="A25" t="s">
        <v>39</v>
      </c>
      <c r="B25" s="8">
        <f>B20/SUM(B13,B20)</f>
        <v>0.49781659388646288</v>
      </c>
      <c r="C25" s="8">
        <f>C20/SUM(C13,C20)</f>
        <v>0.45794392523364486</v>
      </c>
      <c r="E25" t="s">
        <v>43</v>
      </c>
      <c r="F25" s="8">
        <f>F24*4</f>
        <v>1680</v>
      </c>
      <c r="H25" t="s">
        <v>75</v>
      </c>
      <c r="I25" s="25">
        <f>I14*I16+I21*I23</f>
        <v>55.938235294117646</v>
      </c>
      <c r="J25" s="30"/>
      <c r="K25" s="30" t="s">
        <v>75</v>
      </c>
      <c r="L25" s="25">
        <f>L14*L16+L21*L23</f>
        <v>6267.8899082568805</v>
      </c>
      <c r="M25" s="30"/>
      <c r="N25" s="30" t="s">
        <v>75</v>
      </c>
      <c r="O25" s="25">
        <f>O14*O16+O21*O23</f>
        <v>3304</v>
      </c>
    </row>
    <row r="26" spans="1:21">
      <c r="H26" t="s">
        <v>47</v>
      </c>
      <c r="I26" s="25">
        <f>I15*I16+I22*I23</f>
        <v>37.292156862745095</v>
      </c>
      <c r="J26" s="30"/>
      <c r="K26" s="30" t="s">
        <v>47</v>
      </c>
      <c r="L26" s="25">
        <f>L15*L16+L22*L23</f>
        <v>39.688278899082569</v>
      </c>
      <c r="M26" s="30"/>
      <c r="N26" s="30" t="s">
        <v>47</v>
      </c>
      <c r="O26" s="25">
        <f>O15*O16+O22*O23</f>
        <v>694.51732000000004</v>
      </c>
    </row>
    <row r="27" spans="1:21">
      <c r="A27" t="s">
        <v>46</v>
      </c>
      <c r="B27" s="8">
        <f>B23/esketamine_udose*B25+B15/esketamine_udose*B17</f>
        <v>19.484716157205241</v>
      </c>
      <c r="C27" s="8">
        <f>C23/esketamine_udose*C25+C15/esketamine_udose*C17</f>
        <v>19.205607476635514</v>
      </c>
      <c r="E27" s="16" t="s">
        <v>38</v>
      </c>
      <c r="F27" s="8">
        <f>F25/mianserin_udose*mianserin_ucost</f>
        <v>43.411200000000001</v>
      </c>
      <c r="L27" s="8"/>
    </row>
    <row r="28" spans="1:21">
      <c r="A28" t="s">
        <v>47</v>
      </c>
      <c r="B28" s="8">
        <f>B16*B17+B24*B25</f>
        <v>25408.069868995633</v>
      </c>
      <c r="C28" s="8">
        <f>C16*C17+C24*C25</f>
        <v>25044.11214953271</v>
      </c>
      <c r="D28" s="7"/>
      <c r="E28" t="s">
        <v>54</v>
      </c>
      <c r="F28" s="8">
        <v>0.2717</v>
      </c>
      <c r="H28" t="s">
        <v>54</v>
      </c>
      <c r="I28" s="8">
        <v>0.40810000000000002</v>
      </c>
      <c r="K28" t="s">
        <v>54</v>
      </c>
      <c r="L28" s="8">
        <v>0.19350000000000001</v>
      </c>
      <c r="N28" t="s">
        <v>54</v>
      </c>
      <c r="O28" s="8">
        <v>4.4999999999999997E-3</v>
      </c>
    </row>
    <row r="29" spans="1:21">
      <c r="L29" s="8"/>
    </row>
    <row r="30" spans="1:21">
      <c r="A30" t="s">
        <v>54</v>
      </c>
      <c r="B30" s="8">
        <v>0.4355</v>
      </c>
      <c r="C30" s="8">
        <v>0.5645</v>
      </c>
      <c r="H30"/>
      <c r="L30" s="8"/>
    </row>
    <row r="31" spans="1:21">
      <c r="A31" t="s">
        <v>104</v>
      </c>
      <c r="B31" s="8">
        <f>B27*B30+C27*C30</f>
        <v>19.327159307023631</v>
      </c>
      <c r="H31"/>
      <c r="L31" s="8"/>
    </row>
    <row r="32" spans="1:21">
      <c r="A32" s="7" t="s">
        <v>66</v>
      </c>
      <c r="B32" s="11">
        <f>B28*B30+C28*C30</f>
        <v>25202.615736358814</v>
      </c>
      <c r="E32" s="7" t="s">
        <v>53</v>
      </c>
      <c r="F32" s="11">
        <f>F17*F18+F27*F28</f>
        <v>24.506085706666667</v>
      </c>
      <c r="K32" s="21" t="s">
        <v>98</v>
      </c>
      <c r="L32" s="22" t="s">
        <v>94</v>
      </c>
      <c r="N32" s="21" t="s">
        <v>103</v>
      </c>
      <c r="O32" s="22" t="s">
        <v>19</v>
      </c>
    </row>
    <row r="33" spans="1:15">
      <c r="E33" s="7"/>
      <c r="F33" s="24"/>
      <c r="H33"/>
      <c r="K33" s="29" t="s">
        <v>90</v>
      </c>
      <c r="L33" s="28"/>
      <c r="N33" t="s">
        <v>73</v>
      </c>
      <c r="O33" s="8">
        <v>98</v>
      </c>
    </row>
    <row r="34" spans="1:15">
      <c r="A34" s="14" t="s">
        <v>59</v>
      </c>
      <c r="B34" s="15"/>
      <c r="C34" s="15"/>
      <c r="H34" s="21" t="s">
        <v>87</v>
      </c>
      <c r="I34" s="22" t="s">
        <v>20</v>
      </c>
      <c r="K34" t="s">
        <v>41</v>
      </c>
      <c r="L34" s="8">
        <v>143</v>
      </c>
      <c r="N34" s="16" t="s">
        <v>74</v>
      </c>
      <c r="O34" s="8">
        <f>O33*28</f>
        <v>2744</v>
      </c>
    </row>
    <row r="35" spans="1:15">
      <c r="A35" s="10" t="s">
        <v>44</v>
      </c>
      <c r="B35" s="9"/>
      <c r="C35" s="9"/>
      <c r="H35" t="s">
        <v>73</v>
      </c>
      <c r="I35" s="8">
        <v>13.5</v>
      </c>
      <c r="K35" t="s">
        <v>76</v>
      </c>
      <c r="L35" s="8">
        <f>50*2+150*5</f>
        <v>850</v>
      </c>
      <c r="N35" s="16" t="s">
        <v>38</v>
      </c>
      <c r="O35" s="8">
        <f>O34/ziprasidone_udose*ziprasidone_ucost</f>
        <v>576.80251999999996</v>
      </c>
    </row>
    <row r="36" spans="1:15">
      <c r="A36" t="s">
        <v>41</v>
      </c>
      <c r="B36" s="8">
        <v>115</v>
      </c>
      <c r="C36" s="8">
        <v>58</v>
      </c>
      <c r="H36" s="16" t="s">
        <v>74</v>
      </c>
      <c r="I36" s="8">
        <f>I35*28</f>
        <v>378</v>
      </c>
      <c r="K36" t="s">
        <v>96</v>
      </c>
      <c r="L36" s="8">
        <f>150*7</f>
        <v>1050</v>
      </c>
    </row>
    <row r="37" spans="1:15">
      <c r="A37" t="s">
        <v>42</v>
      </c>
      <c r="B37" s="8">
        <f>28*2*1</f>
        <v>56</v>
      </c>
      <c r="C37" s="8">
        <f>28*2*1</f>
        <v>56</v>
      </c>
      <c r="H37" s="16" t="s">
        <v>38</v>
      </c>
      <c r="I37" s="8">
        <f>I36/olanzapine_udose*olanzapine_ucost</f>
        <v>26.459999999999997</v>
      </c>
      <c r="K37" t="s">
        <v>97</v>
      </c>
      <c r="L37" s="8">
        <f>L35+L36*5</f>
        <v>6100</v>
      </c>
      <c r="N37" t="s">
        <v>54</v>
      </c>
      <c r="O37" s="8">
        <v>8.8900000000000007E-2</v>
      </c>
    </row>
    <row r="38" spans="1:15">
      <c r="A38" t="s">
        <v>43</v>
      </c>
      <c r="B38" s="8">
        <f>B37*4</f>
        <v>224</v>
      </c>
      <c r="C38" s="8">
        <f>C37*4</f>
        <v>224</v>
      </c>
      <c r="H38"/>
      <c r="I38"/>
      <c r="K38" t="s">
        <v>81</v>
      </c>
      <c r="L38" s="8">
        <f>L37/6/7</f>
        <v>145.23809523809524</v>
      </c>
    </row>
    <row r="39" spans="1:15">
      <c r="A39" t="s">
        <v>38</v>
      </c>
      <c r="B39" s="8">
        <f>B38/esketamine_udose*esketamine_ucost</f>
        <v>10432</v>
      </c>
      <c r="C39" s="8">
        <f>C38/esketamine_udose*esketamine_ucost</f>
        <v>10432</v>
      </c>
      <c r="H39" t="s">
        <v>54</v>
      </c>
      <c r="I39" s="8">
        <v>2E-3</v>
      </c>
      <c r="K39" t="s">
        <v>43</v>
      </c>
      <c r="L39" s="8">
        <f>L37/6*4</f>
        <v>4066.6666666666665</v>
      </c>
    </row>
    <row r="40" spans="1:15">
      <c r="A40" t="s">
        <v>39</v>
      </c>
      <c r="B40" s="8">
        <f>B36/SUM(B36,B43)</f>
        <v>0.50218340611353707</v>
      </c>
      <c r="C40" s="8">
        <f>C36/SUM(C36,C43)</f>
        <v>0.54205607476635509</v>
      </c>
      <c r="H40"/>
      <c r="K40" s="16" t="s">
        <v>38</v>
      </c>
      <c r="L40" s="25">
        <f>L39/quetiapine_udose*quetiapine_ucost</f>
        <v>25.750133333333331</v>
      </c>
    </row>
    <row r="41" spans="1:15">
      <c r="H41"/>
      <c r="K41" t="s">
        <v>39</v>
      </c>
      <c r="L41" s="8">
        <f>L34/SUM(L34,L44)</f>
        <v>0.47039473684210525</v>
      </c>
    </row>
    <row r="42" spans="1:15">
      <c r="A42" s="10" t="s">
        <v>45</v>
      </c>
      <c r="H42"/>
      <c r="L42" s="8"/>
    </row>
    <row r="43" spans="1:15">
      <c r="A43" t="s">
        <v>41</v>
      </c>
      <c r="B43" s="8">
        <v>114</v>
      </c>
      <c r="C43" s="8">
        <v>49</v>
      </c>
      <c r="H43" s="7" t="s">
        <v>53</v>
      </c>
      <c r="I43" s="11">
        <f>I26*I28+I37*I39+L26*L28+L54*L56+L61*L63+O26*O28+O35*O37+O48*O49</f>
        <v>108.83549726765875</v>
      </c>
      <c r="K43" s="29" t="s">
        <v>93</v>
      </c>
      <c r="L43" s="28"/>
      <c r="N43" s="21" t="s">
        <v>117</v>
      </c>
      <c r="O43" s="22" t="s">
        <v>118</v>
      </c>
    </row>
    <row r="44" spans="1:15">
      <c r="A44" t="s">
        <v>42</v>
      </c>
      <c r="B44" s="8">
        <f>28*3*1</f>
        <v>84</v>
      </c>
      <c r="C44" s="8">
        <f>28*3*1</f>
        <v>84</v>
      </c>
      <c r="H44"/>
      <c r="K44" t="s">
        <v>41</v>
      </c>
      <c r="L44" s="8">
        <v>161</v>
      </c>
      <c r="N44" t="s">
        <v>73</v>
      </c>
      <c r="O44" s="8">
        <v>400</v>
      </c>
    </row>
    <row r="45" spans="1:15">
      <c r="A45" t="s">
        <v>43</v>
      </c>
      <c r="B45" s="8">
        <f>B44*4</f>
        <v>336</v>
      </c>
      <c r="C45" s="8">
        <f>C44*4</f>
        <v>336</v>
      </c>
      <c r="H45"/>
      <c r="K45" t="s">
        <v>76</v>
      </c>
      <c r="L45" s="8">
        <f>50*2+150*2+300*3</f>
        <v>1300</v>
      </c>
      <c r="N45" s="16" t="s">
        <v>74</v>
      </c>
      <c r="O45" s="8">
        <f>O44*28</f>
        <v>11200</v>
      </c>
    </row>
    <row r="46" spans="1:15">
      <c r="A46" t="s">
        <v>38</v>
      </c>
      <c r="B46" s="8">
        <f>B45/esketamine_udose*esketamine_ucost</f>
        <v>15648</v>
      </c>
      <c r="C46" s="8">
        <f>C45/esketamine_udose*esketamine_ucost</f>
        <v>15648</v>
      </c>
      <c r="K46" t="s">
        <v>96</v>
      </c>
      <c r="L46" s="8">
        <f>300*7</f>
        <v>2100</v>
      </c>
      <c r="N46" s="16" t="s">
        <v>121</v>
      </c>
      <c r="O46" s="8">
        <f>O45/I2*G2</f>
        <v>203.76999999999998</v>
      </c>
    </row>
    <row r="47" spans="1:15">
      <c r="A47" t="s">
        <v>39</v>
      </c>
      <c r="B47" s="8">
        <f>B43/SUM(B36,B43)</f>
        <v>0.49781659388646288</v>
      </c>
      <c r="C47" s="8">
        <f>C43/SUM(C36,C43)</f>
        <v>0.45794392523364486</v>
      </c>
      <c r="E47" s="20"/>
      <c r="F47" s="9"/>
      <c r="H47"/>
      <c r="K47" t="s">
        <v>97</v>
      </c>
      <c r="L47" s="8">
        <f>L45+L46*5</f>
        <v>11800</v>
      </c>
      <c r="N47" t="s">
        <v>120</v>
      </c>
      <c r="O47" s="8">
        <v>33</v>
      </c>
    </row>
    <row r="48" spans="1:15">
      <c r="K48" t="s">
        <v>81</v>
      </c>
      <c r="L48" s="8">
        <f>L47/6/7</f>
        <v>280.95238095238096</v>
      </c>
      <c r="N48" s="16" t="s">
        <v>119</v>
      </c>
      <c r="O48" s="8">
        <f>O46+O47</f>
        <v>236.76999999999998</v>
      </c>
    </row>
    <row r="49" spans="1:15">
      <c r="A49" t="s">
        <v>46</v>
      </c>
      <c r="B49" s="8">
        <f>B45/$D$2*B47+B38/$D$2*B40</f>
        <v>9.9912663755458517</v>
      </c>
      <c r="C49" s="8">
        <f>C45/$D$2*C47+C38/$D$2*C40</f>
        <v>9.8317757009345783</v>
      </c>
      <c r="K49" t="s">
        <v>43</v>
      </c>
      <c r="L49" s="8">
        <f>L47/6*4</f>
        <v>7866.666666666667</v>
      </c>
      <c r="N49" t="s">
        <v>54</v>
      </c>
      <c r="O49" s="8">
        <v>0.1002</v>
      </c>
    </row>
    <row r="50" spans="1:15">
      <c r="A50" t="s">
        <v>47</v>
      </c>
      <c r="B50" s="8">
        <f>B39*B40+B46*B47</f>
        <v>13028.611353711789</v>
      </c>
      <c r="C50" s="8">
        <f>C39*C40+C46*C47</f>
        <v>12820.63551401869</v>
      </c>
      <c r="K50" s="16" t="s">
        <v>38</v>
      </c>
      <c r="L50" s="25">
        <f>L49/quetiapine_udose*quetiapine_ucost</f>
        <v>49.811733333333336</v>
      </c>
    </row>
    <row r="51" spans="1:15">
      <c r="K51" t="s">
        <v>39</v>
      </c>
      <c r="L51" s="8">
        <f>L44/(SUM(L34,L44))</f>
        <v>0.52960526315789469</v>
      </c>
    </row>
    <row r="52" spans="1:15">
      <c r="A52" t="s">
        <v>54</v>
      </c>
      <c r="B52" s="8">
        <v>0.4355</v>
      </c>
      <c r="C52" s="8">
        <v>0.5645</v>
      </c>
      <c r="L52" s="8"/>
    </row>
    <row r="53" spans="1:15">
      <c r="A53" t="s">
        <v>55</v>
      </c>
      <c r="B53" s="8">
        <f>B49*B52+C49*C52</f>
        <v>9.9012338897277878</v>
      </c>
      <c r="K53" t="s">
        <v>75</v>
      </c>
      <c r="L53" s="25">
        <f>L39*L41+L49*L51</f>
        <v>6079.1666666666661</v>
      </c>
    </row>
    <row r="54" spans="1:15">
      <c r="A54" s="7" t="s">
        <v>67</v>
      </c>
      <c r="B54" s="11">
        <f>B50*B52+C50*C52</f>
        <v>12911.208992205035</v>
      </c>
      <c r="E54" s="16"/>
      <c r="K54" t="s">
        <v>47</v>
      </c>
      <c r="L54" s="25">
        <f>L40*L41+L50*L51</f>
        <v>38.493283333333331</v>
      </c>
    </row>
    <row r="55" spans="1:15">
      <c r="K55" s="16"/>
      <c r="L55" s="8"/>
    </row>
    <row r="56" spans="1:15">
      <c r="K56" t="s">
        <v>54</v>
      </c>
      <c r="L56" s="8">
        <v>0.18390000000000001</v>
      </c>
    </row>
    <row r="57" spans="1:15">
      <c r="L57" s="8"/>
    </row>
    <row r="58" spans="1:15">
      <c r="K58" s="21" t="s">
        <v>95</v>
      </c>
      <c r="L58" s="22" t="s">
        <v>18</v>
      </c>
    </row>
    <row r="59" spans="1:15">
      <c r="K59" t="s">
        <v>73</v>
      </c>
      <c r="L59" s="8">
        <v>182</v>
      </c>
    </row>
    <row r="60" spans="1:15">
      <c r="K60" s="16" t="s">
        <v>74</v>
      </c>
      <c r="L60" s="8">
        <f>L59*28</f>
        <v>5096</v>
      </c>
    </row>
    <row r="61" spans="1:15">
      <c r="K61" s="16" t="s">
        <v>38</v>
      </c>
      <c r="L61" s="25">
        <f>L60/quetiapine_udose*quetiapine_ucost</f>
        <v>32.267871999999997</v>
      </c>
    </row>
    <row r="63" spans="1:15">
      <c r="K63" t="s">
        <v>54</v>
      </c>
      <c r="L63" s="8">
        <v>2.1000000000000001E-2</v>
      </c>
    </row>
    <row r="64" spans="1:15">
      <c r="L64" s="8"/>
    </row>
    <row r="65" spans="1:12">
      <c r="L65" s="8"/>
    </row>
    <row r="66" spans="1:12">
      <c r="L66" s="8"/>
    </row>
    <row r="67" spans="1:12">
      <c r="L67" s="8"/>
    </row>
    <row r="68" spans="1:12">
      <c r="L68" s="8"/>
    </row>
    <row r="69" spans="1:12">
      <c r="L69" s="8"/>
    </row>
    <row r="70" spans="1:12">
      <c r="L70" s="8"/>
    </row>
    <row r="71" spans="1:12">
      <c r="A71" s="26" t="s">
        <v>82</v>
      </c>
    </row>
    <row r="72" spans="1:12">
      <c r="A72" t="s">
        <v>83</v>
      </c>
    </row>
    <row r="73" spans="1:12">
      <c r="A73" t="s">
        <v>89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6980-53BE-6347-AF1F-7B7B74B93E5C}">
  <dimension ref="A1:G42"/>
  <sheetViews>
    <sheetView topLeftCell="A19" zoomScale="125" workbookViewId="0">
      <selection activeCell="B38" sqref="B38"/>
    </sheetView>
  </sheetViews>
  <sheetFormatPr baseColWidth="10" defaultRowHeight="16"/>
  <cols>
    <col min="1" max="1" width="82.33203125" style="36" customWidth="1"/>
    <col min="2" max="2" width="40.5" style="36" customWidth="1"/>
    <col min="3" max="4" width="47.33203125" style="36" customWidth="1"/>
    <col min="5" max="6" width="59.1640625" style="36" customWidth="1"/>
    <col min="7" max="7" width="17.1640625" style="36" customWidth="1"/>
    <col min="8" max="16384" width="10.83203125" style="36"/>
  </cols>
  <sheetData>
    <row r="1" spans="1:7" s="44" customFormat="1" ht="22">
      <c r="A1" s="43" t="s">
        <v>149</v>
      </c>
      <c r="B1" s="53"/>
      <c r="C1" s="53"/>
      <c r="D1" s="53"/>
      <c r="E1" s="53"/>
      <c r="F1" s="53"/>
    </row>
    <row r="2" spans="1:7" s="52" customFormat="1" ht="21">
      <c r="A2" s="42" t="s">
        <v>105</v>
      </c>
      <c r="B2" s="42" t="s">
        <v>129</v>
      </c>
      <c r="C2" s="42" t="s">
        <v>128</v>
      </c>
      <c r="D2" s="42" t="s">
        <v>147</v>
      </c>
      <c r="E2" s="42" t="s">
        <v>340</v>
      </c>
      <c r="F2" s="42" t="s">
        <v>142</v>
      </c>
      <c r="G2" s="42" t="s">
        <v>141</v>
      </c>
    </row>
    <row r="3" spans="1:7" s="44" customFormat="1" ht="21">
      <c r="A3" s="41" t="s">
        <v>106</v>
      </c>
      <c r="B3" s="45">
        <v>25</v>
      </c>
      <c r="C3" s="47">
        <v>1190</v>
      </c>
      <c r="D3" s="103"/>
      <c r="E3" s="45">
        <v>0</v>
      </c>
      <c r="F3" s="47">
        <f>B3+C3+E3</f>
        <v>1215</v>
      </c>
      <c r="G3" s="45">
        <v>2</v>
      </c>
    </row>
    <row r="4" spans="1:7" s="44" customFormat="1" ht="21">
      <c r="A4" s="41" t="s">
        <v>107</v>
      </c>
      <c r="B4" s="45">
        <v>109</v>
      </c>
      <c r="C4" s="47">
        <v>1190</v>
      </c>
      <c r="D4" s="103"/>
      <c r="E4" s="45">
        <v>0</v>
      </c>
      <c r="F4" s="47">
        <f>B4+C4+E4</f>
        <v>1299</v>
      </c>
      <c r="G4" s="45">
        <v>2</v>
      </c>
    </row>
    <row r="5" spans="1:7" s="44" customFormat="1" ht="21">
      <c r="A5" s="41" t="s">
        <v>108</v>
      </c>
      <c r="B5" s="45">
        <v>0</v>
      </c>
      <c r="C5" s="47">
        <v>1190</v>
      </c>
      <c r="D5" s="103"/>
      <c r="E5" s="45" t="s">
        <v>140</v>
      </c>
      <c r="F5" s="47">
        <v>4340</v>
      </c>
      <c r="G5" s="45">
        <v>2</v>
      </c>
    </row>
    <row r="6" spans="1:7" s="44" customFormat="1" ht="21">
      <c r="A6" s="41" t="s">
        <v>127</v>
      </c>
      <c r="B6" s="45">
        <v>12.5</v>
      </c>
      <c r="C6" s="47">
        <v>1190</v>
      </c>
      <c r="D6" s="103"/>
      <c r="E6" s="45" t="s">
        <v>140</v>
      </c>
      <c r="F6" s="54">
        <v>4352.5</v>
      </c>
      <c r="G6" s="45">
        <v>1</v>
      </c>
    </row>
    <row r="7" spans="1:7" s="44" customFormat="1" ht="21">
      <c r="A7" s="41" t="s">
        <v>126</v>
      </c>
      <c r="B7" s="45">
        <v>12.5</v>
      </c>
      <c r="C7" s="47" t="s">
        <v>134</v>
      </c>
      <c r="D7" s="103"/>
      <c r="E7" s="45" t="s">
        <v>139</v>
      </c>
      <c r="F7" s="45">
        <v>83812.5</v>
      </c>
      <c r="G7" s="45">
        <v>2</v>
      </c>
    </row>
    <row r="8" spans="1:7" s="44" customFormat="1" ht="47" customHeight="1">
      <c r="A8" s="41" t="s">
        <v>125</v>
      </c>
      <c r="B8" s="50" t="s">
        <v>132</v>
      </c>
      <c r="C8" s="49" t="s">
        <v>131</v>
      </c>
      <c r="D8" s="103"/>
      <c r="E8" s="45">
        <v>0</v>
      </c>
      <c r="F8" s="47">
        <v>25448</v>
      </c>
      <c r="G8" s="48">
        <v>2</v>
      </c>
    </row>
    <row r="9" spans="1:7" s="44" customFormat="1" ht="21">
      <c r="A9" s="41" t="s">
        <v>124</v>
      </c>
      <c r="B9" s="45">
        <v>12.5</v>
      </c>
      <c r="C9" s="51" t="s">
        <v>341</v>
      </c>
      <c r="D9" s="103"/>
      <c r="E9" s="45" t="s">
        <v>138</v>
      </c>
      <c r="F9" s="54">
        <v>143292.5</v>
      </c>
      <c r="G9" s="45">
        <v>1</v>
      </c>
    </row>
    <row r="10" spans="1:7" s="44" customFormat="1" ht="23" customHeight="1"/>
    <row r="11" spans="1:7" s="44" customFormat="1" ht="16" customHeight="1"/>
    <row r="13" spans="1:7" ht="22">
      <c r="A13" s="43" t="s">
        <v>150</v>
      </c>
    </row>
    <row r="14" spans="1:7" s="52" customFormat="1" ht="21">
      <c r="A14" s="42" t="s">
        <v>105</v>
      </c>
      <c r="B14" s="42" t="s">
        <v>137</v>
      </c>
      <c r="C14" s="42" t="s">
        <v>136</v>
      </c>
      <c r="D14" s="42" t="s">
        <v>147</v>
      </c>
      <c r="E14" s="42" t="s">
        <v>339</v>
      </c>
      <c r="F14" s="42"/>
      <c r="G14" s="42"/>
    </row>
    <row r="15" spans="1:7" s="44" customFormat="1" ht="21">
      <c r="A15" s="41" t="s">
        <v>106</v>
      </c>
      <c r="B15" s="45">
        <v>25</v>
      </c>
      <c r="C15" s="47">
        <v>1190</v>
      </c>
      <c r="D15" s="103"/>
      <c r="E15" s="46">
        <v>0</v>
      </c>
      <c r="F15" s="46"/>
      <c r="G15" s="45"/>
    </row>
    <row r="16" spans="1:7" s="44" customFormat="1" ht="21">
      <c r="A16" s="41" t="s">
        <v>107</v>
      </c>
      <c r="B16" s="45">
        <v>109</v>
      </c>
      <c r="C16" s="47">
        <v>1190</v>
      </c>
      <c r="D16" s="103"/>
      <c r="E16" s="46">
        <v>0</v>
      </c>
      <c r="F16" s="46"/>
      <c r="G16" s="45"/>
    </row>
    <row r="17" spans="1:7" s="44" customFormat="1" ht="21">
      <c r="A17" s="41" t="s">
        <v>108</v>
      </c>
      <c r="B17" s="45">
        <v>0</v>
      </c>
      <c r="C17" s="47">
        <v>1190</v>
      </c>
      <c r="D17" s="103"/>
      <c r="E17" s="46" t="s">
        <v>135</v>
      </c>
      <c r="F17" s="46"/>
      <c r="G17" s="45"/>
    </row>
    <row r="18" spans="1:7" s="44" customFormat="1" ht="21">
      <c r="A18" s="41" t="s">
        <v>127</v>
      </c>
      <c r="B18" s="45">
        <v>12.5</v>
      </c>
      <c r="C18" s="47">
        <v>1190</v>
      </c>
      <c r="D18" s="103"/>
      <c r="E18" s="46" t="s">
        <v>135</v>
      </c>
      <c r="F18" s="46"/>
      <c r="G18" s="45"/>
    </row>
    <row r="19" spans="1:7" s="44" customFormat="1" ht="21">
      <c r="A19" s="41" t="s">
        <v>126</v>
      </c>
      <c r="B19" s="45">
        <v>12.5</v>
      </c>
      <c r="C19" s="47" t="s">
        <v>134</v>
      </c>
      <c r="D19" s="103"/>
      <c r="E19" s="51" t="s">
        <v>133</v>
      </c>
      <c r="F19" s="51"/>
      <c r="G19" s="45"/>
    </row>
    <row r="20" spans="1:7" s="44" customFormat="1" ht="47" customHeight="1">
      <c r="A20" s="41" t="s">
        <v>125</v>
      </c>
      <c r="B20" s="50" t="s">
        <v>132</v>
      </c>
      <c r="C20" s="49" t="s">
        <v>131</v>
      </c>
      <c r="D20" s="103"/>
      <c r="E20" s="46">
        <v>0</v>
      </c>
      <c r="F20" s="46"/>
      <c r="G20" s="48"/>
    </row>
    <row r="21" spans="1:7" s="44" customFormat="1" ht="21">
      <c r="A21" s="41" t="s">
        <v>124</v>
      </c>
      <c r="B21" s="45">
        <v>12.5</v>
      </c>
      <c r="C21" s="51" t="s">
        <v>341</v>
      </c>
      <c r="D21" s="103"/>
      <c r="E21" s="46" t="s">
        <v>130</v>
      </c>
      <c r="F21" s="46"/>
      <c r="G21" s="45"/>
    </row>
    <row r="25" spans="1:7" ht="22">
      <c r="A25" s="43" t="s">
        <v>148</v>
      </c>
    </row>
    <row r="26" spans="1:7" ht="21">
      <c r="A26" s="42" t="s">
        <v>105</v>
      </c>
      <c r="B26" s="42" t="s">
        <v>129</v>
      </c>
      <c r="C26" s="42" t="s">
        <v>128</v>
      </c>
      <c r="D26" s="42" t="s">
        <v>147</v>
      </c>
      <c r="E26" s="42" t="s">
        <v>338</v>
      </c>
      <c r="F26" s="42" t="s">
        <v>142</v>
      </c>
    </row>
    <row r="27" spans="1:7" ht="21">
      <c r="A27" s="41" t="s">
        <v>106</v>
      </c>
      <c r="B27" s="47">
        <v>106.81</v>
      </c>
      <c r="C27" s="51">
        <v>5084.3</v>
      </c>
      <c r="D27" s="47">
        <v>120877.07</v>
      </c>
      <c r="E27" s="51">
        <v>0</v>
      </c>
      <c r="F27" s="47">
        <v>126068.19</v>
      </c>
    </row>
    <row r="28" spans="1:7" ht="21">
      <c r="A28" s="41" t="s">
        <v>107</v>
      </c>
      <c r="B28" s="47">
        <v>416.68</v>
      </c>
      <c r="C28" s="51">
        <v>4549.05</v>
      </c>
      <c r="D28" s="47">
        <v>121273.48</v>
      </c>
      <c r="E28" s="51">
        <v>0</v>
      </c>
      <c r="F28" s="47">
        <v>126239.21</v>
      </c>
    </row>
    <row r="29" spans="1:7" ht="21">
      <c r="A29" s="41" t="s">
        <v>108</v>
      </c>
      <c r="B29" s="47">
        <v>0</v>
      </c>
      <c r="C29" s="51">
        <v>8268.7099999999991</v>
      </c>
      <c r="D29" s="47">
        <v>122236.82</v>
      </c>
      <c r="E29" s="51">
        <v>21887.759999999998</v>
      </c>
      <c r="F29" s="47">
        <v>152393.29</v>
      </c>
    </row>
    <row r="30" spans="1:7" ht="21">
      <c r="A30" s="41" t="s">
        <v>127</v>
      </c>
      <c r="B30" s="47">
        <v>35.049999999999997</v>
      </c>
      <c r="C30" s="51">
        <v>13346.2</v>
      </c>
      <c r="D30" s="47">
        <v>119421.21</v>
      </c>
      <c r="E30" s="51">
        <v>35328.17</v>
      </c>
      <c r="F30" s="47">
        <v>168130.63</v>
      </c>
    </row>
    <row r="31" spans="1:7" ht="21">
      <c r="A31" s="41" t="s">
        <v>126</v>
      </c>
      <c r="B31" s="47">
        <v>23.45</v>
      </c>
      <c r="C31" s="51">
        <v>34220.83</v>
      </c>
      <c r="D31" s="47">
        <v>118222.48</v>
      </c>
      <c r="E31" s="51">
        <v>86271</v>
      </c>
      <c r="F31" s="47">
        <v>238737.76</v>
      </c>
    </row>
    <row r="32" spans="1:7" ht="21">
      <c r="A32" s="41" t="s">
        <v>125</v>
      </c>
      <c r="B32" s="47">
        <v>67411.34</v>
      </c>
      <c r="C32" s="51">
        <v>42192.37</v>
      </c>
      <c r="D32" s="47">
        <v>117069.22</v>
      </c>
      <c r="E32" s="47">
        <v>0</v>
      </c>
      <c r="F32" s="47">
        <v>226672.93</v>
      </c>
    </row>
    <row r="33" spans="1:6" ht="21">
      <c r="A33" s="41" t="s">
        <v>124</v>
      </c>
      <c r="B33" s="47">
        <v>24.97</v>
      </c>
      <c r="C33" s="47">
        <v>126904.07</v>
      </c>
      <c r="D33" s="47">
        <v>114995.44</v>
      </c>
      <c r="E33" s="47">
        <v>116556.8</v>
      </c>
      <c r="F33" s="47">
        <v>358481.28</v>
      </c>
    </row>
    <row r="36" spans="1:6" s="40" customFormat="1"/>
    <row r="37" spans="1:6" s="40" customFormat="1">
      <c r="A37" s="36"/>
    </row>
    <row r="38" spans="1:6" s="40" customFormat="1">
      <c r="A38" s="36"/>
    </row>
    <row r="40" spans="1:6" ht="22">
      <c r="A40" s="39" t="s">
        <v>109</v>
      </c>
    </row>
    <row r="41" spans="1:6">
      <c r="A41" s="38" t="s">
        <v>123</v>
      </c>
    </row>
    <row r="42" spans="1:6">
      <c r="A42" s="37" t="s">
        <v>122</v>
      </c>
    </row>
  </sheetData>
  <mergeCells count="2">
    <mergeCell ref="D3:D9"/>
    <mergeCell ref="D15:D21"/>
  </mergeCells>
  <phoneticPr fontId="20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CAFE-AB0A-3F4D-9109-56A29D4B00B2}">
  <dimension ref="A1:N420"/>
  <sheetViews>
    <sheetView topLeftCell="G1" zoomScale="167" workbookViewId="0">
      <selection activeCell="D8" sqref="D8"/>
    </sheetView>
  </sheetViews>
  <sheetFormatPr baseColWidth="10" defaultRowHeight="16"/>
  <cols>
    <col min="1" max="1" width="8.33203125" customWidth="1"/>
    <col min="2" max="2" width="8.6640625" customWidth="1"/>
    <col min="3" max="3" width="13.1640625" customWidth="1"/>
    <col min="4" max="4" width="11.1640625" bestFit="1" customWidth="1"/>
    <col min="5" max="5" width="12.6640625" customWidth="1"/>
    <col min="6" max="6" width="15.1640625" customWidth="1"/>
    <col min="7" max="7" width="12.33203125" bestFit="1" customWidth="1"/>
    <col min="8" max="8" width="11.33203125" customWidth="1"/>
    <col min="9" max="9" width="12.6640625" customWidth="1"/>
    <col min="10" max="10" width="11.1640625" bestFit="1" customWidth="1"/>
    <col min="11" max="11" width="12.1640625" customWidth="1"/>
    <col min="12" max="12" width="14.33203125" customWidth="1"/>
    <col min="13" max="13" width="12.33203125" bestFit="1" customWidth="1"/>
    <col min="14" max="14" width="11.33203125" customWidth="1"/>
  </cols>
  <sheetData>
    <row r="1" spans="1:14" ht="21" customHeight="1">
      <c r="A1" s="109" t="s">
        <v>337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21" customHeight="1">
      <c r="A2" s="104" t="s">
        <v>210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4" ht="22.5" customHeight="1">
      <c r="A3" s="110" t="s">
        <v>336</v>
      </c>
      <c r="B3" s="111"/>
      <c r="C3" s="111" t="s">
        <v>335</v>
      </c>
      <c r="D3" s="111"/>
      <c r="E3" s="111"/>
      <c r="F3" s="111"/>
      <c r="G3" s="111"/>
      <c r="H3" s="111"/>
      <c r="I3" s="111" t="s">
        <v>208</v>
      </c>
      <c r="J3" s="111"/>
      <c r="K3" s="111"/>
      <c r="L3" s="111"/>
      <c r="M3" s="111"/>
      <c r="N3" s="111"/>
    </row>
    <row r="4" spans="1:14" ht="105" customHeight="1">
      <c r="A4" s="105" t="s">
        <v>210</v>
      </c>
      <c r="B4" s="106"/>
      <c r="C4" s="102" t="s">
        <v>334</v>
      </c>
      <c r="D4" s="102" t="s">
        <v>333</v>
      </c>
      <c r="E4" s="102" t="s">
        <v>332</v>
      </c>
      <c r="F4" s="102" t="s">
        <v>331</v>
      </c>
      <c r="G4" s="102" t="s">
        <v>330</v>
      </c>
      <c r="H4" s="102" t="s">
        <v>329</v>
      </c>
      <c r="I4" s="102" t="s">
        <v>334</v>
      </c>
      <c r="J4" s="102" t="s">
        <v>333</v>
      </c>
      <c r="K4" s="102" t="s">
        <v>332</v>
      </c>
      <c r="L4" s="102" t="s">
        <v>331</v>
      </c>
      <c r="M4" s="102" t="s">
        <v>330</v>
      </c>
      <c r="N4" s="102" t="s">
        <v>329</v>
      </c>
    </row>
    <row r="5" spans="1:14" ht="22.5" customHeight="1">
      <c r="A5" s="105"/>
      <c r="B5" s="106"/>
      <c r="C5" s="102" t="s">
        <v>328</v>
      </c>
      <c r="D5" s="102" t="s">
        <v>327</v>
      </c>
      <c r="E5" s="102" t="s">
        <v>326</v>
      </c>
      <c r="F5" s="102" t="s">
        <v>325</v>
      </c>
      <c r="G5" s="102" t="s">
        <v>324</v>
      </c>
      <c r="H5" s="102" t="s">
        <v>323</v>
      </c>
      <c r="I5" s="102" t="s">
        <v>328</v>
      </c>
      <c r="J5" s="102" t="s">
        <v>327</v>
      </c>
      <c r="K5" s="102" t="s">
        <v>326</v>
      </c>
      <c r="L5" s="102" t="s">
        <v>325</v>
      </c>
      <c r="M5" s="102" t="s">
        <v>324</v>
      </c>
      <c r="N5" s="102" t="s">
        <v>323</v>
      </c>
    </row>
    <row r="6" spans="1:14" ht="22.5" customHeight="1">
      <c r="A6" s="101" t="s">
        <v>0</v>
      </c>
      <c r="B6" s="100" t="s">
        <v>322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</row>
    <row r="7" spans="1:14" ht="21.75" customHeight="1">
      <c r="A7" s="108" t="s">
        <v>321</v>
      </c>
      <c r="B7" s="93" t="s">
        <v>317</v>
      </c>
      <c r="C7" s="91">
        <v>2.23676E-3</v>
      </c>
      <c r="D7" s="94">
        <v>1000000</v>
      </c>
      <c r="E7" s="97">
        <v>2237</v>
      </c>
      <c r="F7" s="90">
        <v>997938</v>
      </c>
      <c r="G7" s="96">
        <v>83351450</v>
      </c>
      <c r="H7" s="95">
        <v>83.35</v>
      </c>
      <c r="I7" s="91">
        <v>1.43195E-3</v>
      </c>
      <c r="J7" s="94">
        <v>1000000</v>
      </c>
      <c r="K7" s="97">
        <v>1432</v>
      </c>
      <c r="L7" s="90">
        <v>998711</v>
      </c>
      <c r="M7" s="96">
        <v>87746126</v>
      </c>
      <c r="N7" s="95">
        <v>87.75</v>
      </c>
    </row>
    <row r="8" spans="1:14" ht="22.5" customHeight="1">
      <c r="A8" s="108"/>
      <c r="B8" s="93" t="s">
        <v>316</v>
      </c>
      <c r="C8" s="91">
        <v>2.5115000000000001E-4</v>
      </c>
      <c r="D8" s="90">
        <v>997763</v>
      </c>
      <c r="E8" s="98">
        <v>251</v>
      </c>
      <c r="F8" s="90">
        <v>997638</v>
      </c>
      <c r="G8" s="96">
        <v>82353512</v>
      </c>
      <c r="H8" s="95">
        <v>82.54</v>
      </c>
      <c r="I8" s="91">
        <v>2.3761999999999999E-4</v>
      </c>
      <c r="J8" s="90">
        <v>998568</v>
      </c>
      <c r="K8" s="98">
        <v>237</v>
      </c>
      <c r="L8" s="90">
        <v>998450</v>
      </c>
      <c r="M8" s="96">
        <v>86747415</v>
      </c>
      <c r="N8" s="95">
        <v>86.87</v>
      </c>
    </row>
    <row r="9" spans="1:14" ht="22.5" customHeight="1">
      <c r="A9" s="108"/>
      <c r="B9" s="93" t="s">
        <v>315</v>
      </c>
      <c r="C9" s="91">
        <v>1.9646E-4</v>
      </c>
      <c r="D9" s="90">
        <v>997512</v>
      </c>
      <c r="E9" s="98">
        <v>196</v>
      </c>
      <c r="F9" s="90">
        <v>997414</v>
      </c>
      <c r="G9" s="96">
        <v>81355874</v>
      </c>
      <c r="H9" s="95">
        <v>81.56</v>
      </c>
      <c r="I9" s="91">
        <v>1.8521E-4</v>
      </c>
      <c r="J9" s="90">
        <v>998331</v>
      </c>
      <c r="K9" s="98">
        <v>185</v>
      </c>
      <c r="L9" s="90">
        <v>998239</v>
      </c>
      <c r="M9" s="96">
        <v>85748965</v>
      </c>
      <c r="N9" s="95">
        <v>85.89</v>
      </c>
    </row>
    <row r="10" spans="1:14" ht="22.5" customHeight="1">
      <c r="A10" s="108"/>
      <c r="B10" s="93" t="s">
        <v>314</v>
      </c>
      <c r="C10" s="91">
        <v>1.5113999999999999E-4</v>
      </c>
      <c r="D10" s="90">
        <v>997316</v>
      </c>
      <c r="E10" s="98">
        <v>151</v>
      </c>
      <c r="F10" s="90">
        <v>997241</v>
      </c>
      <c r="G10" s="96">
        <v>80358460</v>
      </c>
      <c r="H10" s="95">
        <v>80.569999999999993</v>
      </c>
      <c r="I10" s="91">
        <v>1.4168000000000001E-4</v>
      </c>
      <c r="J10" s="90">
        <v>998146</v>
      </c>
      <c r="K10" s="98">
        <v>141</v>
      </c>
      <c r="L10" s="90">
        <v>998076</v>
      </c>
      <c r="M10" s="96">
        <v>84750726</v>
      </c>
      <c r="N10" s="95">
        <v>84.91</v>
      </c>
    </row>
    <row r="11" spans="1:14" ht="22.5" customHeight="1">
      <c r="A11" s="108"/>
      <c r="B11" s="93" t="s">
        <v>313</v>
      </c>
      <c r="C11" s="91">
        <v>1.1518000000000001E-4</v>
      </c>
      <c r="D11" s="90">
        <v>997165</v>
      </c>
      <c r="E11" s="98">
        <v>115</v>
      </c>
      <c r="F11" s="90">
        <v>997108</v>
      </c>
      <c r="G11" s="96">
        <v>79361219</v>
      </c>
      <c r="H11" s="95">
        <v>79.59</v>
      </c>
      <c r="I11" s="91">
        <v>1.0704000000000001E-4</v>
      </c>
      <c r="J11" s="90">
        <v>998005</v>
      </c>
      <c r="K11" s="98">
        <v>107</v>
      </c>
      <c r="L11" s="90">
        <v>997952</v>
      </c>
      <c r="M11" s="96">
        <v>83752650</v>
      </c>
      <c r="N11" s="95">
        <v>83.92</v>
      </c>
    </row>
    <row r="12" spans="1:14" ht="22.5" customHeight="1">
      <c r="A12" s="108"/>
      <c r="B12" s="93" t="s">
        <v>312</v>
      </c>
      <c r="C12" s="91">
        <v>8.8510000000000005E-5</v>
      </c>
      <c r="D12" s="90">
        <v>997050</v>
      </c>
      <c r="E12" s="99">
        <v>88</v>
      </c>
      <c r="F12" s="90">
        <v>997006</v>
      </c>
      <c r="G12" s="96">
        <v>78364111</v>
      </c>
      <c r="H12" s="95">
        <v>78.599999999999994</v>
      </c>
      <c r="I12" s="91">
        <v>8.1180000000000005E-5</v>
      </c>
      <c r="J12" s="90">
        <v>997898</v>
      </c>
      <c r="K12" s="99">
        <v>81</v>
      </c>
      <c r="L12" s="90">
        <v>997858</v>
      </c>
      <c r="M12" s="96">
        <v>82754698</v>
      </c>
      <c r="N12" s="95">
        <v>82.93</v>
      </c>
    </row>
    <row r="13" spans="1:14" ht="22.5" customHeight="1">
      <c r="A13" s="108"/>
      <c r="B13" s="93" t="s">
        <v>311</v>
      </c>
      <c r="C13" s="91">
        <v>7.0859999999999996E-5</v>
      </c>
      <c r="D13" s="90">
        <v>996962</v>
      </c>
      <c r="E13" s="99">
        <v>71</v>
      </c>
      <c r="F13" s="90">
        <v>996927</v>
      </c>
      <c r="G13" s="96">
        <v>77367105</v>
      </c>
      <c r="H13" s="95">
        <v>77.599999999999994</v>
      </c>
      <c r="I13" s="91">
        <v>6.3819999999999995E-5</v>
      </c>
      <c r="J13" s="90">
        <v>997817</v>
      </c>
      <c r="K13" s="99">
        <v>64</v>
      </c>
      <c r="L13" s="90">
        <v>997785</v>
      </c>
      <c r="M13" s="96">
        <v>81756840</v>
      </c>
      <c r="N13" s="95">
        <v>81.94</v>
      </c>
    </row>
    <row r="14" spans="1:14" ht="22.5" customHeight="1">
      <c r="A14" s="108"/>
      <c r="B14" s="93" t="s">
        <v>310</v>
      </c>
      <c r="C14" s="91">
        <v>6.1829999999999996E-5</v>
      </c>
      <c r="D14" s="90">
        <v>996891</v>
      </c>
      <c r="E14" s="99">
        <v>62</v>
      </c>
      <c r="F14" s="90">
        <v>996860</v>
      </c>
      <c r="G14" s="96">
        <v>76370178</v>
      </c>
      <c r="H14" s="95">
        <v>76.61</v>
      </c>
      <c r="I14" s="91">
        <v>5.4500000000000003E-5</v>
      </c>
      <c r="J14" s="90">
        <v>997753</v>
      </c>
      <c r="K14" s="99">
        <v>54</v>
      </c>
      <c r="L14" s="90">
        <v>997726</v>
      </c>
      <c r="M14" s="96">
        <v>80759055</v>
      </c>
      <c r="N14" s="95">
        <v>80.94</v>
      </c>
    </row>
    <row r="15" spans="1:14" ht="22.5" customHeight="1">
      <c r="A15" s="108"/>
      <c r="B15" s="93" t="s">
        <v>309</v>
      </c>
      <c r="C15" s="91">
        <v>6.0630000000000001E-5</v>
      </c>
      <c r="D15" s="90">
        <v>996829</v>
      </c>
      <c r="E15" s="99">
        <v>60</v>
      </c>
      <c r="F15" s="90">
        <v>996799</v>
      </c>
      <c r="G15" s="96">
        <v>75373318</v>
      </c>
      <c r="H15" s="95">
        <v>75.61</v>
      </c>
      <c r="I15" s="91">
        <v>5.2380000000000003E-5</v>
      </c>
      <c r="J15" s="90">
        <v>997699</v>
      </c>
      <c r="K15" s="99">
        <v>52</v>
      </c>
      <c r="L15" s="90">
        <v>997673</v>
      </c>
      <c r="M15" s="96">
        <v>79761329</v>
      </c>
      <c r="N15" s="95">
        <v>79.95</v>
      </c>
    </row>
    <row r="16" spans="1:14" ht="22.5" customHeight="1">
      <c r="A16" s="108"/>
      <c r="B16" s="93" t="s">
        <v>308</v>
      </c>
      <c r="C16" s="91">
        <v>6.6089999999999999E-5</v>
      </c>
      <c r="D16" s="90">
        <v>996769</v>
      </c>
      <c r="E16" s="99">
        <v>66</v>
      </c>
      <c r="F16" s="90">
        <v>996736</v>
      </c>
      <c r="G16" s="96">
        <v>74376519</v>
      </c>
      <c r="H16" s="95">
        <v>74.62</v>
      </c>
      <c r="I16" s="91">
        <v>5.6140000000000001E-5</v>
      </c>
      <c r="J16" s="90">
        <v>997647</v>
      </c>
      <c r="K16" s="99">
        <v>56</v>
      </c>
      <c r="L16" s="90">
        <v>997619</v>
      </c>
      <c r="M16" s="96">
        <v>78763656</v>
      </c>
      <c r="N16" s="95">
        <v>78.95</v>
      </c>
    </row>
    <row r="17" spans="1:14" ht="22.5" customHeight="1">
      <c r="A17" s="108"/>
      <c r="B17" s="93" t="s">
        <v>307</v>
      </c>
      <c r="C17" s="91">
        <v>7.6940000000000005E-5</v>
      </c>
      <c r="D17" s="90">
        <v>996703</v>
      </c>
      <c r="E17" s="99">
        <v>77</v>
      </c>
      <c r="F17" s="90">
        <v>996665</v>
      </c>
      <c r="G17" s="96">
        <v>73379783</v>
      </c>
      <c r="H17" s="95">
        <v>73.62</v>
      </c>
      <c r="I17" s="91">
        <v>6.4389999999999998E-5</v>
      </c>
      <c r="J17" s="90">
        <v>997591</v>
      </c>
      <c r="K17" s="99">
        <v>64</v>
      </c>
      <c r="L17" s="90">
        <v>997559</v>
      </c>
      <c r="M17" s="96">
        <v>77766037</v>
      </c>
      <c r="N17" s="95">
        <v>77.95</v>
      </c>
    </row>
    <row r="18" spans="1:14" ht="22.5" customHeight="1">
      <c r="A18" s="108"/>
      <c r="B18" s="93" t="s">
        <v>306</v>
      </c>
      <c r="C18" s="91">
        <v>9.1639999999999997E-5</v>
      </c>
      <c r="D18" s="90">
        <v>996626</v>
      </c>
      <c r="E18" s="99">
        <v>91</v>
      </c>
      <c r="F18" s="90">
        <v>996581</v>
      </c>
      <c r="G18" s="96">
        <v>72383118</v>
      </c>
      <c r="H18" s="95">
        <v>72.63</v>
      </c>
      <c r="I18" s="91">
        <v>7.5459999999999999E-5</v>
      </c>
      <c r="J18" s="90">
        <v>997527</v>
      </c>
      <c r="K18" s="99">
        <v>75</v>
      </c>
      <c r="L18" s="90">
        <v>997490</v>
      </c>
      <c r="M18" s="96">
        <v>76768478</v>
      </c>
      <c r="N18" s="95">
        <v>76.959999999999994</v>
      </c>
    </row>
    <row r="19" spans="1:14" ht="22.5" customHeight="1">
      <c r="A19" s="108"/>
      <c r="B19" s="93" t="s">
        <v>305</v>
      </c>
      <c r="C19" s="91">
        <v>1.0861000000000001E-4</v>
      </c>
      <c r="D19" s="90">
        <v>996535</v>
      </c>
      <c r="E19" s="98">
        <v>108</v>
      </c>
      <c r="F19" s="90">
        <v>996481</v>
      </c>
      <c r="G19" s="96">
        <v>71386537</v>
      </c>
      <c r="H19" s="95">
        <v>71.63</v>
      </c>
      <c r="I19" s="91">
        <v>8.7609999999999996E-5</v>
      </c>
      <c r="J19" s="90">
        <v>997452</v>
      </c>
      <c r="K19" s="99">
        <v>87</v>
      </c>
      <c r="L19" s="90">
        <v>997409</v>
      </c>
      <c r="M19" s="96">
        <v>75770988</v>
      </c>
      <c r="N19" s="95">
        <v>75.959999999999994</v>
      </c>
    </row>
    <row r="20" spans="1:14" ht="22.5" customHeight="1">
      <c r="A20" s="108"/>
      <c r="B20" s="93" t="s">
        <v>304</v>
      </c>
      <c r="C20" s="91">
        <v>1.2658E-4</v>
      </c>
      <c r="D20" s="90">
        <v>996427</v>
      </c>
      <c r="E20" s="98">
        <v>126</v>
      </c>
      <c r="F20" s="90">
        <v>996364</v>
      </c>
      <c r="G20" s="96">
        <v>70390056</v>
      </c>
      <c r="H20" s="95">
        <v>70.64</v>
      </c>
      <c r="I20" s="91">
        <v>9.9500000000000006E-5</v>
      </c>
      <c r="J20" s="90">
        <v>997365</v>
      </c>
      <c r="K20" s="99">
        <v>99</v>
      </c>
      <c r="L20" s="90">
        <v>997316</v>
      </c>
      <c r="M20" s="96">
        <v>74773579</v>
      </c>
      <c r="N20" s="95">
        <v>74.97</v>
      </c>
    </row>
    <row r="21" spans="1:14" ht="22.5" customHeight="1">
      <c r="A21" s="108"/>
      <c r="B21" s="93" t="s">
        <v>303</v>
      </c>
      <c r="C21" s="91">
        <v>1.4472000000000001E-4</v>
      </c>
      <c r="D21" s="90">
        <v>996301</v>
      </c>
      <c r="E21" s="98">
        <v>144</v>
      </c>
      <c r="F21" s="90">
        <v>996229</v>
      </c>
      <c r="G21" s="96">
        <v>69393692</v>
      </c>
      <c r="H21" s="95">
        <v>69.650000000000006</v>
      </c>
      <c r="I21" s="91">
        <v>1.1029E-4</v>
      </c>
      <c r="J21" s="90">
        <v>997266</v>
      </c>
      <c r="K21" s="98">
        <v>110</v>
      </c>
      <c r="L21" s="90">
        <v>997211</v>
      </c>
      <c r="M21" s="96">
        <v>73776263</v>
      </c>
      <c r="N21" s="95">
        <v>73.98</v>
      </c>
    </row>
    <row r="22" spans="1:14" ht="22.5" customHeight="1">
      <c r="A22" s="108"/>
      <c r="B22" s="93" t="s">
        <v>302</v>
      </c>
      <c r="C22" s="91">
        <v>1.6296999999999999E-4</v>
      </c>
      <c r="D22" s="90">
        <v>996157</v>
      </c>
      <c r="E22" s="98">
        <v>162</v>
      </c>
      <c r="F22" s="90">
        <v>996076</v>
      </c>
      <c r="G22" s="96">
        <v>68397463</v>
      </c>
      <c r="H22" s="95">
        <v>68.66</v>
      </c>
      <c r="I22" s="91">
        <v>1.1968000000000001E-4</v>
      </c>
      <c r="J22" s="90">
        <v>997156</v>
      </c>
      <c r="K22" s="98">
        <v>119</v>
      </c>
      <c r="L22" s="90">
        <v>997097</v>
      </c>
      <c r="M22" s="96">
        <v>72779052</v>
      </c>
      <c r="N22" s="95">
        <v>72.989999999999995</v>
      </c>
    </row>
    <row r="23" spans="1:14" ht="22.5" customHeight="1">
      <c r="A23" s="108"/>
      <c r="B23" s="93" t="s">
        <v>301</v>
      </c>
      <c r="C23" s="91">
        <v>1.818E-4</v>
      </c>
      <c r="D23" s="90">
        <v>995995</v>
      </c>
      <c r="E23" s="98">
        <v>181</v>
      </c>
      <c r="F23" s="90">
        <v>995905</v>
      </c>
      <c r="G23" s="96">
        <v>67401387</v>
      </c>
      <c r="H23" s="95">
        <v>67.67</v>
      </c>
      <c r="I23" s="91">
        <v>1.2815E-4</v>
      </c>
      <c r="J23" s="90">
        <v>997037</v>
      </c>
      <c r="K23" s="98">
        <v>128</v>
      </c>
      <c r="L23" s="90">
        <v>996973</v>
      </c>
      <c r="M23" s="96">
        <v>71781955</v>
      </c>
      <c r="N23" s="95">
        <v>72</v>
      </c>
    </row>
    <row r="24" spans="1:14" ht="22.5" customHeight="1">
      <c r="A24" s="108"/>
      <c r="B24" s="93" t="s">
        <v>300</v>
      </c>
      <c r="C24" s="91">
        <v>2.0218999999999999E-4</v>
      </c>
      <c r="D24" s="90">
        <v>995814</v>
      </c>
      <c r="E24" s="98">
        <v>201</v>
      </c>
      <c r="F24" s="90">
        <v>995714</v>
      </c>
      <c r="G24" s="96">
        <v>66405482</v>
      </c>
      <c r="H24" s="95">
        <v>66.680000000000007</v>
      </c>
      <c r="I24" s="91">
        <v>1.3694999999999999E-4</v>
      </c>
      <c r="J24" s="90">
        <v>996909</v>
      </c>
      <c r="K24" s="98">
        <v>137</v>
      </c>
      <c r="L24" s="90">
        <v>996841</v>
      </c>
      <c r="M24" s="96">
        <v>70784982</v>
      </c>
      <c r="N24" s="95">
        <v>71</v>
      </c>
    </row>
    <row r="25" spans="1:14" ht="22.5" customHeight="1">
      <c r="A25" s="108"/>
      <c r="B25" s="93" t="s">
        <v>299</v>
      </c>
      <c r="C25" s="91">
        <v>2.2388E-4</v>
      </c>
      <c r="D25" s="90">
        <v>995613</v>
      </c>
      <c r="E25" s="98">
        <v>223</v>
      </c>
      <c r="F25" s="90">
        <v>995502</v>
      </c>
      <c r="G25" s="96">
        <v>65409768</v>
      </c>
      <c r="H25" s="95">
        <v>65.7</v>
      </c>
      <c r="I25" s="91">
        <v>1.4605999999999999E-4</v>
      </c>
      <c r="J25" s="90">
        <v>996772</v>
      </c>
      <c r="K25" s="98">
        <v>146</v>
      </c>
      <c r="L25" s="90">
        <v>996699</v>
      </c>
      <c r="M25" s="96">
        <v>69788141</v>
      </c>
      <c r="N25" s="95">
        <v>70.010000000000005</v>
      </c>
    </row>
    <row r="26" spans="1:14" ht="22.5" customHeight="1">
      <c r="A26" s="108"/>
      <c r="B26" s="93" t="s">
        <v>298</v>
      </c>
      <c r="C26" s="91">
        <v>2.4648999999999998E-4</v>
      </c>
      <c r="D26" s="90">
        <v>995390</v>
      </c>
      <c r="E26" s="98">
        <v>245</v>
      </c>
      <c r="F26" s="90">
        <v>995268</v>
      </c>
      <c r="G26" s="96">
        <v>64414266</v>
      </c>
      <c r="H26" s="95">
        <v>64.709999999999994</v>
      </c>
      <c r="I26" s="91">
        <v>1.5540000000000001E-4</v>
      </c>
      <c r="J26" s="90">
        <v>996626</v>
      </c>
      <c r="K26" s="98">
        <v>155</v>
      </c>
      <c r="L26" s="90">
        <v>996549</v>
      </c>
      <c r="M26" s="96">
        <v>68791442</v>
      </c>
      <c r="N26" s="95">
        <v>69.02</v>
      </c>
    </row>
    <row r="27" spans="1:14" ht="22.5" customHeight="1">
      <c r="A27" s="108"/>
      <c r="B27" s="93" t="s">
        <v>297</v>
      </c>
      <c r="C27" s="91">
        <v>2.6951999999999998E-4</v>
      </c>
      <c r="D27" s="90">
        <v>995145</v>
      </c>
      <c r="E27" s="98">
        <v>268</v>
      </c>
      <c r="F27" s="90">
        <v>995011</v>
      </c>
      <c r="G27" s="96">
        <v>63418998</v>
      </c>
      <c r="H27" s="95">
        <v>63.73</v>
      </c>
      <c r="I27" s="91">
        <v>1.6517999999999999E-4</v>
      </c>
      <c r="J27" s="90">
        <v>996471</v>
      </c>
      <c r="K27" s="98">
        <v>165</v>
      </c>
      <c r="L27" s="90">
        <v>996389</v>
      </c>
      <c r="M27" s="96">
        <v>67794893</v>
      </c>
      <c r="N27" s="95">
        <v>68.03</v>
      </c>
    </row>
    <row r="28" spans="1:14" ht="22.5" customHeight="1">
      <c r="A28" s="108"/>
      <c r="B28" s="93" t="s">
        <v>296</v>
      </c>
      <c r="C28" s="91">
        <v>2.9251E-4</v>
      </c>
      <c r="D28" s="90">
        <v>994877</v>
      </c>
      <c r="E28" s="98">
        <v>291</v>
      </c>
      <c r="F28" s="90">
        <v>994732</v>
      </c>
      <c r="G28" s="96">
        <v>62423987</v>
      </c>
      <c r="H28" s="95">
        <v>62.75</v>
      </c>
      <c r="I28" s="91">
        <v>1.7537E-4</v>
      </c>
      <c r="J28" s="90">
        <v>996306</v>
      </c>
      <c r="K28" s="98">
        <v>175</v>
      </c>
      <c r="L28" s="90">
        <v>996219</v>
      </c>
      <c r="M28" s="96">
        <v>66798504</v>
      </c>
      <c r="N28" s="95">
        <v>67.05</v>
      </c>
    </row>
    <row r="29" spans="1:14" ht="22.5" customHeight="1">
      <c r="A29" s="108"/>
      <c r="B29" s="93" t="s">
        <v>295</v>
      </c>
      <c r="C29" s="91">
        <v>3.1494999999999998E-4</v>
      </c>
      <c r="D29" s="90">
        <v>994586</v>
      </c>
      <c r="E29" s="98">
        <v>313</v>
      </c>
      <c r="F29" s="90">
        <v>994430</v>
      </c>
      <c r="G29" s="96">
        <v>61429255</v>
      </c>
      <c r="H29" s="95">
        <v>61.76</v>
      </c>
      <c r="I29" s="91">
        <v>1.8562E-4</v>
      </c>
      <c r="J29" s="90">
        <v>996131</v>
      </c>
      <c r="K29" s="98">
        <v>185</v>
      </c>
      <c r="L29" s="90">
        <v>996039</v>
      </c>
      <c r="M29" s="96">
        <v>65802285</v>
      </c>
      <c r="N29" s="95">
        <v>66.06</v>
      </c>
    </row>
    <row r="30" spans="1:14" ht="22.5" customHeight="1">
      <c r="A30" s="108"/>
      <c r="B30" s="93" t="s">
        <v>294</v>
      </c>
      <c r="C30" s="91">
        <v>3.3644000000000002E-4</v>
      </c>
      <c r="D30" s="90">
        <v>994273</v>
      </c>
      <c r="E30" s="98">
        <v>335</v>
      </c>
      <c r="F30" s="90">
        <v>994106</v>
      </c>
      <c r="G30" s="96">
        <v>60434825</v>
      </c>
      <c r="H30" s="95">
        <v>60.78</v>
      </c>
      <c r="I30" s="91">
        <v>1.9557999999999999E-4</v>
      </c>
      <c r="J30" s="90">
        <v>995946</v>
      </c>
      <c r="K30" s="98">
        <v>195</v>
      </c>
      <c r="L30" s="90">
        <v>995849</v>
      </c>
      <c r="M30" s="96">
        <v>64806246</v>
      </c>
      <c r="N30" s="95">
        <v>65.069999999999993</v>
      </c>
    </row>
    <row r="31" spans="1:14" ht="22.5" customHeight="1">
      <c r="A31" s="108"/>
      <c r="B31" s="93" t="s">
        <v>293</v>
      </c>
      <c r="C31" s="91">
        <v>3.5673999999999998E-4</v>
      </c>
      <c r="D31" s="90">
        <v>993938</v>
      </c>
      <c r="E31" s="98">
        <v>355</v>
      </c>
      <c r="F31" s="90">
        <v>993761</v>
      </c>
      <c r="G31" s="96">
        <v>59440719</v>
      </c>
      <c r="H31" s="95">
        <v>59.8</v>
      </c>
      <c r="I31" s="91">
        <v>2.0479E-4</v>
      </c>
      <c r="J31" s="90">
        <v>995751</v>
      </c>
      <c r="K31" s="98">
        <v>204</v>
      </c>
      <c r="L31" s="90">
        <v>995649</v>
      </c>
      <c r="M31" s="96">
        <v>63810397</v>
      </c>
      <c r="N31" s="95">
        <v>64.08</v>
      </c>
    </row>
    <row r="32" spans="1:14" ht="22.5" customHeight="1">
      <c r="A32" s="108"/>
      <c r="B32" s="93" t="s">
        <v>292</v>
      </c>
      <c r="C32" s="91">
        <v>3.7404000000000002E-4</v>
      </c>
      <c r="D32" s="90">
        <v>993583</v>
      </c>
      <c r="E32" s="98">
        <v>372</v>
      </c>
      <c r="F32" s="90">
        <v>993397</v>
      </c>
      <c r="G32" s="96">
        <v>58446958</v>
      </c>
      <c r="H32" s="95">
        <v>58.82</v>
      </c>
      <c r="I32" s="91">
        <v>2.1123E-4</v>
      </c>
      <c r="J32" s="90">
        <v>995547</v>
      </c>
      <c r="K32" s="98">
        <v>210</v>
      </c>
      <c r="L32" s="90">
        <v>995442</v>
      </c>
      <c r="M32" s="96">
        <v>62814748</v>
      </c>
      <c r="N32" s="95">
        <v>63.1</v>
      </c>
    </row>
    <row r="33" spans="1:14" ht="22.5" customHeight="1">
      <c r="A33" s="108"/>
      <c r="B33" s="93" t="s">
        <v>291</v>
      </c>
      <c r="C33" s="91">
        <v>3.8796000000000002E-4</v>
      </c>
      <c r="D33" s="90">
        <v>993211</v>
      </c>
      <c r="E33" s="98">
        <v>385</v>
      </c>
      <c r="F33" s="90">
        <v>993019</v>
      </c>
      <c r="G33" s="96">
        <v>57453561</v>
      </c>
      <c r="H33" s="95">
        <v>57.85</v>
      </c>
      <c r="I33" s="91">
        <v>2.1401999999999999E-4</v>
      </c>
      <c r="J33" s="90">
        <v>995337</v>
      </c>
      <c r="K33" s="98">
        <v>213</v>
      </c>
      <c r="L33" s="90">
        <v>995231</v>
      </c>
      <c r="M33" s="96">
        <v>61819306</v>
      </c>
      <c r="N33" s="95">
        <v>62.11</v>
      </c>
    </row>
    <row r="34" spans="1:14" ht="22.5" customHeight="1">
      <c r="A34" s="108"/>
      <c r="B34" s="93" t="s">
        <v>290</v>
      </c>
      <c r="C34" s="91">
        <v>3.9948000000000002E-4</v>
      </c>
      <c r="D34" s="90">
        <v>992826</v>
      </c>
      <c r="E34" s="98">
        <v>397</v>
      </c>
      <c r="F34" s="90">
        <v>992628</v>
      </c>
      <c r="G34" s="96">
        <v>56460542</v>
      </c>
      <c r="H34" s="95">
        <v>56.87</v>
      </c>
      <c r="I34" s="91">
        <v>2.1338999999999999E-4</v>
      </c>
      <c r="J34" s="90">
        <v>995124</v>
      </c>
      <c r="K34" s="98">
        <v>212</v>
      </c>
      <c r="L34" s="90">
        <v>995018</v>
      </c>
      <c r="M34" s="96">
        <v>60824075</v>
      </c>
      <c r="N34" s="95">
        <v>61.12</v>
      </c>
    </row>
    <row r="35" spans="1:14" ht="22.5" customHeight="1">
      <c r="A35" s="108"/>
      <c r="B35" s="93" t="s">
        <v>289</v>
      </c>
      <c r="C35" s="91">
        <v>4.0988999999999999E-4</v>
      </c>
      <c r="D35" s="90">
        <v>992429</v>
      </c>
      <c r="E35" s="98">
        <v>407</v>
      </c>
      <c r="F35" s="90">
        <v>992226</v>
      </c>
      <c r="G35" s="96">
        <v>55467914</v>
      </c>
      <c r="H35" s="95">
        <v>55.89</v>
      </c>
      <c r="I35" s="91">
        <v>2.1013E-4</v>
      </c>
      <c r="J35" s="90">
        <v>994912</v>
      </c>
      <c r="K35" s="98">
        <v>209</v>
      </c>
      <c r="L35" s="90">
        <v>994808</v>
      </c>
      <c r="M35" s="96">
        <v>59829057</v>
      </c>
      <c r="N35" s="95">
        <v>60.14</v>
      </c>
    </row>
    <row r="36" spans="1:14" ht="22.5" customHeight="1">
      <c r="A36" s="108"/>
      <c r="B36" s="93" t="s">
        <v>288</v>
      </c>
      <c r="C36" s="91">
        <v>4.2111999999999998E-4</v>
      </c>
      <c r="D36" s="90">
        <v>992022</v>
      </c>
      <c r="E36" s="98">
        <v>418</v>
      </c>
      <c r="F36" s="90">
        <v>991813</v>
      </c>
      <c r="G36" s="96">
        <v>54475688</v>
      </c>
      <c r="H36" s="95">
        <v>54.91</v>
      </c>
      <c r="I36" s="91">
        <v>2.0573E-4</v>
      </c>
      <c r="J36" s="90">
        <v>994703</v>
      </c>
      <c r="K36" s="98">
        <v>205</v>
      </c>
      <c r="L36" s="90">
        <v>994601</v>
      </c>
      <c r="M36" s="96">
        <v>58834249</v>
      </c>
      <c r="N36" s="95">
        <v>59.15</v>
      </c>
    </row>
    <row r="37" spans="1:14" ht="22.5" customHeight="1">
      <c r="A37" s="108"/>
      <c r="B37" s="93" t="s">
        <v>287</v>
      </c>
      <c r="C37" s="91">
        <v>4.3623000000000002E-4</v>
      </c>
      <c r="D37" s="90">
        <v>991604</v>
      </c>
      <c r="E37" s="98">
        <v>433</v>
      </c>
      <c r="F37" s="90">
        <v>991388</v>
      </c>
      <c r="G37" s="96">
        <v>53483875</v>
      </c>
      <c r="H37" s="95">
        <v>53.94</v>
      </c>
      <c r="I37" s="91">
        <v>2.0295999999999999E-4</v>
      </c>
      <c r="J37" s="90">
        <v>994498</v>
      </c>
      <c r="K37" s="98">
        <v>202</v>
      </c>
      <c r="L37" s="90">
        <v>994397</v>
      </c>
      <c r="M37" s="96">
        <v>57839648</v>
      </c>
      <c r="N37" s="95">
        <v>58.16</v>
      </c>
    </row>
    <row r="38" spans="1:14" ht="22.5" customHeight="1">
      <c r="A38" s="108"/>
      <c r="B38" s="93" t="s">
        <v>286</v>
      </c>
      <c r="C38" s="91">
        <v>4.5775999999999998E-4</v>
      </c>
      <c r="D38" s="90">
        <v>991171</v>
      </c>
      <c r="E38" s="98">
        <v>454</v>
      </c>
      <c r="F38" s="90">
        <v>990944</v>
      </c>
      <c r="G38" s="96">
        <v>52492487</v>
      </c>
      <c r="H38" s="95">
        <v>52.96</v>
      </c>
      <c r="I38" s="91">
        <v>2.0425E-4</v>
      </c>
      <c r="J38" s="90">
        <v>994296</v>
      </c>
      <c r="K38" s="98">
        <v>203</v>
      </c>
      <c r="L38" s="90">
        <v>994195</v>
      </c>
      <c r="M38" s="96">
        <v>56845251</v>
      </c>
      <c r="N38" s="95">
        <v>57.17</v>
      </c>
    </row>
    <row r="39" spans="1:14" ht="22.5" customHeight="1">
      <c r="A39" s="108"/>
      <c r="B39" s="93" t="s">
        <v>285</v>
      </c>
      <c r="C39" s="91">
        <v>4.8772000000000003E-4</v>
      </c>
      <c r="D39" s="90">
        <v>990717</v>
      </c>
      <c r="E39" s="98">
        <v>483</v>
      </c>
      <c r="F39" s="90">
        <v>990476</v>
      </c>
      <c r="G39" s="96">
        <v>51501543</v>
      </c>
      <c r="H39" s="95">
        <v>51.98</v>
      </c>
      <c r="I39" s="91">
        <v>2.1175E-4</v>
      </c>
      <c r="J39" s="90">
        <v>994093</v>
      </c>
      <c r="K39" s="98">
        <v>211</v>
      </c>
      <c r="L39" s="90">
        <v>993988</v>
      </c>
      <c r="M39" s="96">
        <v>55851056</v>
      </c>
      <c r="N39" s="95">
        <v>56.18</v>
      </c>
    </row>
    <row r="40" spans="1:14" ht="22.5" customHeight="1">
      <c r="A40" s="108"/>
      <c r="B40" s="93" t="s">
        <v>284</v>
      </c>
      <c r="C40" s="91">
        <v>5.2742999999999996E-4</v>
      </c>
      <c r="D40" s="90">
        <v>990234</v>
      </c>
      <c r="E40" s="98">
        <v>522</v>
      </c>
      <c r="F40" s="90">
        <v>989973</v>
      </c>
      <c r="G40" s="96">
        <v>50511067</v>
      </c>
      <c r="H40" s="95">
        <v>51.01</v>
      </c>
      <c r="I40" s="91">
        <v>2.2661E-4</v>
      </c>
      <c r="J40" s="90">
        <v>993882</v>
      </c>
      <c r="K40" s="98">
        <v>225</v>
      </c>
      <c r="L40" s="90">
        <v>993770</v>
      </c>
      <c r="M40" s="96">
        <v>54857068</v>
      </c>
      <c r="N40" s="95">
        <v>55.19</v>
      </c>
    </row>
    <row r="41" spans="1:14" ht="22.5" customHeight="1">
      <c r="A41" s="108"/>
      <c r="B41" s="93" t="s">
        <v>283</v>
      </c>
      <c r="C41" s="91">
        <v>5.7728E-4</v>
      </c>
      <c r="D41" s="90">
        <v>989712</v>
      </c>
      <c r="E41" s="98">
        <v>571</v>
      </c>
      <c r="F41" s="90">
        <v>989427</v>
      </c>
      <c r="G41" s="96">
        <v>49521094</v>
      </c>
      <c r="H41" s="95">
        <v>50.04</v>
      </c>
      <c r="I41" s="91">
        <v>2.4910999999999998E-4</v>
      </c>
      <c r="J41" s="90">
        <v>993657</v>
      </c>
      <c r="K41" s="98">
        <v>248</v>
      </c>
      <c r="L41" s="90">
        <v>993533</v>
      </c>
      <c r="M41" s="96">
        <v>53863298</v>
      </c>
      <c r="N41" s="95">
        <v>54.21</v>
      </c>
    </row>
    <row r="42" spans="1:14" ht="22.5" customHeight="1">
      <c r="A42" s="108"/>
      <c r="B42" s="93" t="s">
        <v>282</v>
      </c>
      <c r="C42" s="91">
        <v>6.3524000000000002E-4</v>
      </c>
      <c r="D42" s="90">
        <v>989141</v>
      </c>
      <c r="E42" s="98">
        <v>628</v>
      </c>
      <c r="F42" s="90">
        <v>988827</v>
      </c>
      <c r="G42" s="96">
        <v>48531667</v>
      </c>
      <c r="H42" s="95">
        <v>49.06</v>
      </c>
      <c r="I42" s="91">
        <v>2.7804000000000001E-4</v>
      </c>
      <c r="J42" s="90">
        <v>993409</v>
      </c>
      <c r="K42" s="98">
        <v>276</v>
      </c>
      <c r="L42" s="90">
        <v>993271</v>
      </c>
      <c r="M42" s="96">
        <v>52869765</v>
      </c>
      <c r="N42" s="95">
        <v>53.22</v>
      </c>
    </row>
    <row r="43" spans="1:14" ht="22.5" customHeight="1">
      <c r="A43" s="108"/>
      <c r="B43" s="93" t="s">
        <v>281</v>
      </c>
      <c r="C43" s="91">
        <v>6.9926000000000005E-4</v>
      </c>
      <c r="D43" s="90">
        <v>988513</v>
      </c>
      <c r="E43" s="98">
        <v>691</v>
      </c>
      <c r="F43" s="90">
        <v>988168</v>
      </c>
      <c r="G43" s="96">
        <v>47542840</v>
      </c>
      <c r="H43" s="95">
        <v>48.1</v>
      </c>
      <c r="I43" s="91">
        <v>3.1163000000000002E-4</v>
      </c>
      <c r="J43" s="90">
        <v>993133</v>
      </c>
      <c r="K43" s="98">
        <v>309</v>
      </c>
      <c r="L43" s="90">
        <v>992979</v>
      </c>
      <c r="M43" s="96">
        <v>51876494</v>
      </c>
      <c r="N43" s="95">
        <v>52.24</v>
      </c>
    </row>
    <row r="44" spans="1:14" ht="22.5" customHeight="1">
      <c r="A44" s="108"/>
      <c r="B44" s="93" t="s">
        <v>280</v>
      </c>
      <c r="C44" s="91">
        <v>7.6721000000000005E-4</v>
      </c>
      <c r="D44" s="90">
        <v>987822</v>
      </c>
      <c r="E44" s="98">
        <v>758</v>
      </c>
      <c r="F44" s="90">
        <v>987443</v>
      </c>
      <c r="G44" s="96">
        <v>46554672</v>
      </c>
      <c r="H44" s="95">
        <v>47.13</v>
      </c>
      <c r="I44" s="91">
        <v>3.4758E-4</v>
      </c>
      <c r="J44" s="90">
        <v>992824</v>
      </c>
      <c r="K44" s="98">
        <v>345</v>
      </c>
      <c r="L44" s="90">
        <v>992652</v>
      </c>
      <c r="M44" s="96">
        <v>50883515</v>
      </c>
      <c r="N44" s="95">
        <v>51.25</v>
      </c>
    </row>
    <row r="45" spans="1:14" ht="22.5" customHeight="1">
      <c r="A45" s="108"/>
      <c r="B45" s="93" t="s">
        <v>279</v>
      </c>
      <c r="C45" s="91">
        <v>8.3942000000000001E-4</v>
      </c>
      <c r="D45" s="90">
        <v>987064</v>
      </c>
      <c r="E45" s="98">
        <v>829</v>
      </c>
      <c r="F45" s="90">
        <v>986650</v>
      </c>
      <c r="G45" s="96">
        <v>45567229</v>
      </c>
      <c r="H45" s="95">
        <v>46.16</v>
      </c>
      <c r="I45" s="91">
        <v>3.8555000000000002E-4</v>
      </c>
      <c r="J45" s="90">
        <v>992479</v>
      </c>
      <c r="K45" s="98">
        <v>383</v>
      </c>
      <c r="L45" s="90">
        <v>992288</v>
      </c>
      <c r="M45" s="96">
        <v>49890863</v>
      </c>
      <c r="N45" s="95">
        <v>50.27</v>
      </c>
    </row>
    <row r="46" spans="1:14" ht="22.5" customHeight="1">
      <c r="A46" s="108"/>
      <c r="B46" s="93" t="s">
        <v>278</v>
      </c>
      <c r="C46" s="91">
        <v>9.1713999999999999E-4</v>
      </c>
      <c r="D46" s="90">
        <v>986235</v>
      </c>
      <c r="E46" s="98">
        <v>905</v>
      </c>
      <c r="F46" s="90">
        <v>985783</v>
      </c>
      <c r="G46" s="96">
        <v>44580579</v>
      </c>
      <c r="H46" s="95">
        <v>45.2</v>
      </c>
      <c r="I46" s="91">
        <v>4.2578000000000001E-4</v>
      </c>
      <c r="J46" s="90">
        <v>992096</v>
      </c>
      <c r="K46" s="98">
        <v>422</v>
      </c>
      <c r="L46" s="90">
        <v>991885</v>
      </c>
      <c r="M46" s="96">
        <v>48898575</v>
      </c>
      <c r="N46" s="95">
        <v>49.29</v>
      </c>
    </row>
    <row r="47" spans="1:14" ht="22.5" customHeight="1">
      <c r="A47" s="108"/>
      <c r="B47" s="93" t="s">
        <v>277</v>
      </c>
      <c r="C47" s="91">
        <v>1.00187E-3</v>
      </c>
      <c r="D47" s="90">
        <v>985330</v>
      </c>
      <c r="E47" s="98">
        <v>987</v>
      </c>
      <c r="F47" s="90">
        <v>984837</v>
      </c>
      <c r="G47" s="96">
        <v>43594796</v>
      </c>
      <c r="H47" s="95">
        <v>44.24</v>
      </c>
      <c r="I47" s="91">
        <v>4.6721000000000002E-4</v>
      </c>
      <c r="J47" s="90">
        <v>991674</v>
      </c>
      <c r="K47" s="98">
        <v>463</v>
      </c>
      <c r="L47" s="90">
        <v>991443</v>
      </c>
      <c r="M47" s="96">
        <v>47906690</v>
      </c>
      <c r="N47" s="95">
        <v>48.31</v>
      </c>
    </row>
    <row r="48" spans="1:14" ht="22.5" customHeight="1">
      <c r="A48" s="108"/>
      <c r="B48" s="93" t="s">
        <v>276</v>
      </c>
      <c r="C48" s="91">
        <v>1.0959100000000001E-3</v>
      </c>
      <c r="D48" s="90">
        <v>984343</v>
      </c>
      <c r="E48" s="97">
        <v>1079</v>
      </c>
      <c r="F48" s="90">
        <v>983804</v>
      </c>
      <c r="G48" s="96">
        <v>42609959</v>
      </c>
      <c r="H48" s="95">
        <v>43.29</v>
      </c>
      <c r="I48" s="91">
        <v>5.1053999999999997E-4</v>
      </c>
      <c r="J48" s="90">
        <v>991211</v>
      </c>
      <c r="K48" s="98">
        <v>506</v>
      </c>
      <c r="L48" s="90">
        <v>990958</v>
      </c>
      <c r="M48" s="96">
        <v>46915247</v>
      </c>
      <c r="N48" s="95">
        <v>47.33</v>
      </c>
    </row>
    <row r="49" spans="1:14" ht="22.5" customHeight="1">
      <c r="A49" s="108"/>
      <c r="B49" s="93" t="s">
        <v>275</v>
      </c>
      <c r="C49" s="91">
        <v>1.20239E-3</v>
      </c>
      <c r="D49" s="90">
        <v>983264</v>
      </c>
      <c r="E49" s="97">
        <v>1182</v>
      </c>
      <c r="F49" s="90">
        <v>982673</v>
      </c>
      <c r="G49" s="96">
        <v>41626155</v>
      </c>
      <c r="H49" s="95">
        <v>42.33</v>
      </c>
      <c r="I49" s="91">
        <v>5.5822000000000001E-4</v>
      </c>
      <c r="J49" s="90">
        <v>990705</v>
      </c>
      <c r="K49" s="98">
        <v>553</v>
      </c>
      <c r="L49" s="90">
        <v>990429</v>
      </c>
      <c r="M49" s="96">
        <v>45924289</v>
      </c>
      <c r="N49" s="95">
        <v>46.36</v>
      </c>
    </row>
    <row r="50" spans="1:14" ht="22.5" customHeight="1">
      <c r="A50" s="108"/>
      <c r="B50" s="93" t="s">
        <v>274</v>
      </c>
      <c r="C50" s="91">
        <v>1.3234500000000001E-3</v>
      </c>
      <c r="D50" s="90">
        <v>982082</v>
      </c>
      <c r="E50" s="97">
        <v>1300</v>
      </c>
      <c r="F50" s="90">
        <v>981432</v>
      </c>
      <c r="G50" s="96">
        <v>40643482</v>
      </c>
      <c r="H50" s="95">
        <v>41.39</v>
      </c>
      <c r="I50" s="91">
        <v>6.1244999999999995E-4</v>
      </c>
      <c r="J50" s="90">
        <v>990152</v>
      </c>
      <c r="K50" s="98">
        <v>606</v>
      </c>
      <c r="L50" s="90">
        <v>989849</v>
      </c>
      <c r="M50" s="96">
        <v>44933860</v>
      </c>
      <c r="N50" s="95">
        <v>45.38</v>
      </c>
    </row>
    <row r="51" spans="1:14" ht="22.5" customHeight="1">
      <c r="A51" s="108"/>
      <c r="B51" s="93" t="s">
        <v>273</v>
      </c>
      <c r="C51" s="91">
        <v>1.4607699999999999E-3</v>
      </c>
      <c r="D51" s="90">
        <v>980782</v>
      </c>
      <c r="E51" s="97">
        <v>1433</v>
      </c>
      <c r="F51" s="90">
        <v>980066</v>
      </c>
      <c r="G51" s="96">
        <v>39662050</v>
      </c>
      <c r="H51" s="95">
        <v>40.44</v>
      </c>
      <c r="I51" s="91">
        <v>6.7584000000000003E-4</v>
      </c>
      <c r="J51" s="90">
        <v>989546</v>
      </c>
      <c r="K51" s="98">
        <v>669</v>
      </c>
      <c r="L51" s="90">
        <v>989212</v>
      </c>
      <c r="M51" s="96">
        <v>43944011</v>
      </c>
      <c r="N51" s="95">
        <v>44.41</v>
      </c>
    </row>
    <row r="52" spans="1:14" ht="22.5" customHeight="1">
      <c r="A52" s="108"/>
      <c r="B52" s="93" t="s">
        <v>272</v>
      </c>
      <c r="C52" s="91">
        <v>1.6131699999999999E-3</v>
      </c>
      <c r="D52" s="90">
        <v>979349</v>
      </c>
      <c r="E52" s="97">
        <v>1580</v>
      </c>
      <c r="F52" s="90">
        <v>978559</v>
      </c>
      <c r="G52" s="96">
        <v>38681984</v>
      </c>
      <c r="H52" s="95">
        <v>39.5</v>
      </c>
      <c r="I52" s="91">
        <v>7.5440999999999995E-4</v>
      </c>
      <c r="J52" s="90">
        <v>988877</v>
      </c>
      <c r="K52" s="98">
        <v>746</v>
      </c>
      <c r="L52" s="90">
        <v>988504</v>
      </c>
      <c r="M52" s="96">
        <v>42954799</v>
      </c>
      <c r="N52" s="95">
        <v>43.44</v>
      </c>
    </row>
    <row r="53" spans="1:14" ht="22.5" customHeight="1">
      <c r="A53" s="108"/>
      <c r="B53" s="93" t="s">
        <v>271</v>
      </c>
      <c r="C53" s="91">
        <v>1.7800100000000001E-3</v>
      </c>
      <c r="D53" s="90">
        <v>977769</v>
      </c>
      <c r="E53" s="97">
        <v>1740</v>
      </c>
      <c r="F53" s="90">
        <v>976899</v>
      </c>
      <c r="G53" s="96">
        <v>37703425</v>
      </c>
      <c r="H53" s="95">
        <v>38.56</v>
      </c>
      <c r="I53" s="91">
        <v>8.5139999999999999E-4</v>
      </c>
      <c r="J53" s="90">
        <v>988131</v>
      </c>
      <c r="K53" s="98">
        <v>841</v>
      </c>
      <c r="L53" s="90">
        <v>987711</v>
      </c>
      <c r="M53" s="96">
        <v>41966295</v>
      </c>
      <c r="N53" s="95">
        <v>42.47</v>
      </c>
    </row>
    <row r="54" spans="1:14" ht="22.5" customHeight="1">
      <c r="A54" s="108"/>
      <c r="B54" s="93" t="s">
        <v>270</v>
      </c>
      <c r="C54" s="91">
        <v>1.9611300000000002E-3</v>
      </c>
      <c r="D54" s="90">
        <v>976029</v>
      </c>
      <c r="E54" s="97">
        <v>1914</v>
      </c>
      <c r="F54" s="90">
        <v>975072</v>
      </c>
      <c r="G54" s="96">
        <v>36726526</v>
      </c>
      <c r="H54" s="95">
        <v>37.630000000000003</v>
      </c>
      <c r="I54" s="91">
        <v>9.6725000000000001E-4</v>
      </c>
      <c r="J54" s="90">
        <v>987290</v>
      </c>
      <c r="K54" s="98">
        <v>955</v>
      </c>
      <c r="L54" s="90">
        <v>986813</v>
      </c>
      <c r="M54" s="96">
        <v>40978584</v>
      </c>
      <c r="N54" s="95">
        <v>41.51</v>
      </c>
    </row>
    <row r="55" spans="1:14" ht="22.5" customHeight="1">
      <c r="A55" s="108"/>
      <c r="B55" s="93" t="s">
        <v>269</v>
      </c>
      <c r="C55" s="91">
        <v>2.1587799999999999E-3</v>
      </c>
      <c r="D55" s="90">
        <v>974115</v>
      </c>
      <c r="E55" s="97">
        <v>2103</v>
      </c>
      <c r="F55" s="90">
        <v>973064</v>
      </c>
      <c r="G55" s="96">
        <v>35751454</v>
      </c>
      <c r="H55" s="95">
        <v>36.700000000000003</v>
      </c>
      <c r="I55" s="91">
        <v>1.1014900000000001E-3</v>
      </c>
      <c r="J55" s="90">
        <v>986335</v>
      </c>
      <c r="K55" s="97">
        <v>1086</v>
      </c>
      <c r="L55" s="90">
        <v>985792</v>
      </c>
      <c r="M55" s="96">
        <v>39991771</v>
      </c>
      <c r="N55" s="95">
        <v>40.549999999999997</v>
      </c>
    </row>
    <row r="56" spans="1:14" ht="22.5" customHeight="1">
      <c r="A56" s="108"/>
      <c r="B56" s="93" t="s">
        <v>268</v>
      </c>
      <c r="C56" s="91">
        <v>2.3759300000000001E-3</v>
      </c>
      <c r="D56" s="90">
        <v>972012</v>
      </c>
      <c r="E56" s="97">
        <v>2309</v>
      </c>
      <c r="F56" s="90">
        <v>970858</v>
      </c>
      <c r="G56" s="96">
        <v>34778390</v>
      </c>
      <c r="H56" s="95">
        <v>35.78</v>
      </c>
      <c r="I56" s="91">
        <v>1.25164E-3</v>
      </c>
      <c r="J56" s="90">
        <v>985249</v>
      </c>
      <c r="K56" s="97">
        <v>1233</v>
      </c>
      <c r="L56" s="90">
        <v>984633</v>
      </c>
      <c r="M56" s="96">
        <v>39005979</v>
      </c>
      <c r="N56" s="95">
        <v>39.590000000000003</v>
      </c>
    </row>
    <row r="57" spans="1:14" ht="22.5" customHeight="1">
      <c r="A57" s="108"/>
      <c r="B57" s="93" t="s">
        <v>267</v>
      </c>
      <c r="C57" s="91">
        <v>2.6197199999999999E-3</v>
      </c>
      <c r="D57" s="90">
        <v>969703</v>
      </c>
      <c r="E57" s="97">
        <v>2540</v>
      </c>
      <c r="F57" s="90">
        <v>968433</v>
      </c>
      <c r="G57" s="96">
        <v>33807532</v>
      </c>
      <c r="H57" s="95">
        <v>34.86</v>
      </c>
      <c r="I57" s="91">
        <v>1.4122799999999999E-3</v>
      </c>
      <c r="J57" s="90">
        <v>984016</v>
      </c>
      <c r="K57" s="97">
        <v>1390</v>
      </c>
      <c r="L57" s="90">
        <v>983321</v>
      </c>
      <c r="M57" s="96">
        <v>38021346</v>
      </c>
      <c r="N57" s="95">
        <v>38.64</v>
      </c>
    </row>
    <row r="58" spans="1:14" ht="22.5" customHeight="1">
      <c r="A58" s="108"/>
      <c r="B58" s="93" t="s">
        <v>266</v>
      </c>
      <c r="C58" s="91">
        <v>2.8943800000000002E-3</v>
      </c>
      <c r="D58" s="90">
        <v>967163</v>
      </c>
      <c r="E58" s="97">
        <v>2799</v>
      </c>
      <c r="F58" s="90">
        <v>965764</v>
      </c>
      <c r="G58" s="96">
        <v>32839099</v>
      </c>
      <c r="H58" s="95">
        <v>33.950000000000003</v>
      </c>
      <c r="I58" s="91">
        <v>1.5778299999999999E-3</v>
      </c>
      <c r="J58" s="90">
        <v>982626</v>
      </c>
      <c r="K58" s="97">
        <v>1550</v>
      </c>
      <c r="L58" s="90">
        <v>981851</v>
      </c>
      <c r="M58" s="96">
        <v>37038025</v>
      </c>
      <c r="N58" s="95">
        <v>37.69</v>
      </c>
    </row>
    <row r="59" spans="1:14" ht="22.5" customHeight="1">
      <c r="A59" s="108"/>
      <c r="B59" s="93" t="s">
        <v>265</v>
      </c>
      <c r="C59" s="91">
        <v>3.2012400000000002E-3</v>
      </c>
      <c r="D59" s="90">
        <v>964364</v>
      </c>
      <c r="E59" s="97">
        <v>3087</v>
      </c>
      <c r="F59" s="90">
        <v>962821</v>
      </c>
      <c r="G59" s="96">
        <v>31873335</v>
      </c>
      <c r="H59" s="95">
        <v>33.049999999999997</v>
      </c>
      <c r="I59" s="91">
        <v>1.7425299999999999E-3</v>
      </c>
      <c r="J59" s="90">
        <v>981076</v>
      </c>
      <c r="K59" s="97">
        <v>1710</v>
      </c>
      <c r="L59" s="90">
        <v>980221</v>
      </c>
      <c r="M59" s="96">
        <v>36056174</v>
      </c>
      <c r="N59" s="95">
        <v>36.75</v>
      </c>
    </row>
    <row r="60" spans="1:14" ht="22.5" customHeight="1">
      <c r="A60" s="108"/>
      <c r="B60" s="93" t="s">
        <v>264</v>
      </c>
      <c r="C60" s="91">
        <v>3.5400499999999999E-3</v>
      </c>
      <c r="D60" s="90">
        <v>961277</v>
      </c>
      <c r="E60" s="97">
        <v>3403</v>
      </c>
      <c r="F60" s="90">
        <v>959576</v>
      </c>
      <c r="G60" s="96">
        <v>30910514</v>
      </c>
      <c r="H60" s="95">
        <v>32.159999999999997</v>
      </c>
      <c r="I60" s="91">
        <v>1.9038E-3</v>
      </c>
      <c r="J60" s="90">
        <v>979366</v>
      </c>
      <c r="K60" s="97">
        <v>1865</v>
      </c>
      <c r="L60" s="90">
        <v>978434</v>
      </c>
      <c r="M60" s="96">
        <v>35075953</v>
      </c>
      <c r="N60" s="95">
        <v>35.81</v>
      </c>
    </row>
    <row r="61" spans="1:14" ht="22.5" customHeight="1">
      <c r="A61" s="108"/>
      <c r="B61" s="93" t="s">
        <v>263</v>
      </c>
      <c r="C61" s="91">
        <v>3.9082400000000003E-3</v>
      </c>
      <c r="D61" s="90">
        <v>957874</v>
      </c>
      <c r="E61" s="97">
        <v>3744</v>
      </c>
      <c r="F61" s="90">
        <v>956002</v>
      </c>
      <c r="G61" s="96">
        <v>29950938</v>
      </c>
      <c r="H61" s="95">
        <v>31.27</v>
      </c>
      <c r="I61" s="91">
        <v>2.0608699999999998E-3</v>
      </c>
      <c r="J61" s="90">
        <v>977501</v>
      </c>
      <c r="K61" s="97">
        <v>2015</v>
      </c>
      <c r="L61" s="90">
        <v>976494</v>
      </c>
      <c r="M61" s="96">
        <v>34097519</v>
      </c>
      <c r="N61" s="95">
        <v>34.880000000000003</v>
      </c>
    </row>
    <row r="62" spans="1:14" ht="22.5" customHeight="1">
      <c r="A62" s="108"/>
      <c r="B62" s="93" t="s">
        <v>262</v>
      </c>
      <c r="C62" s="91">
        <v>4.2860099999999998E-3</v>
      </c>
      <c r="D62" s="90">
        <v>954130</v>
      </c>
      <c r="E62" s="97">
        <v>4089</v>
      </c>
      <c r="F62" s="90">
        <v>952086</v>
      </c>
      <c r="G62" s="96">
        <v>28994936</v>
      </c>
      <c r="H62" s="95">
        <v>30.39</v>
      </c>
      <c r="I62" s="91">
        <v>2.2068299999999999E-3</v>
      </c>
      <c r="J62" s="90">
        <v>975486</v>
      </c>
      <c r="K62" s="97">
        <v>2153</v>
      </c>
      <c r="L62" s="90">
        <v>974410</v>
      </c>
      <c r="M62" s="96">
        <v>33121025</v>
      </c>
      <c r="N62" s="95">
        <v>33.950000000000003</v>
      </c>
    </row>
    <row r="63" spans="1:14" ht="22.5" customHeight="1">
      <c r="A63" s="108"/>
      <c r="B63" s="93" t="s">
        <v>261</v>
      </c>
      <c r="C63" s="91">
        <v>4.6627200000000004E-3</v>
      </c>
      <c r="D63" s="90">
        <v>950041</v>
      </c>
      <c r="E63" s="97">
        <v>4430</v>
      </c>
      <c r="F63" s="90">
        <v>947826</v>
      </c>
      <c r="G63" s="96">
        <v>28042850</v>
      </c>
      <c r="H63" s="95">
        <v>29.52</v>
      </c>
      <c r="I63" s="91">
        <v>2.3424100000000001E-3</v>
      </c>
      <c r="J63" s="90">
        <v>973333</v>
      </c>
      <c r="K63" s="97">
        <v>2280</v>
      </c>
      <c r="L63" s="90">
        <v>972193</v>
      </c>
      <c r="M63" s="96">
        <v>32146615</v>
      </c>
      <c r="N63" s="95">
        <v>33.03</v>
      </c>
    </row>
    <row r="64" spans="1:14" ht="22.5" customHeight="1">
      <c r="A64" s="108"/>
      <c r="B64" s="93" t="s">
        <v>260</v>
      </c>
      <c r="C64" s="91">
        <v>5.0367399999999996E-3</v>
      </c>
      <c r="D64" s="90">
        <v>945611</v>
      </c>
      <c r="E64" s="97">
        <v>4763</v>
      </c>
      <c r="F64" s="90">
        <v>943230</v>
      </c>
      <c r="G64" s="96">
        <v>27095024</v>
      </c>
      <c r="H64" s="95">
        <v>28.65</v>
      </c>
      <c r="I64" s="91">
        <v>2.4760799999999999E-3</v>
      </c>
      <c r="J64" s="90">
        <v>971053</v>
      </c>
      <c r="K64" s="97">
        <v>2404</v>
      </c>
      <c r="L64" s="90">
        <v>969851</v>
      </c>
      <c r="M64" s="96">
        <v>31174422</v>
      </c>
      <c r="N64" s="95">
        <v>32.1</v>
      </c>
    </row>
    <row r="65" spans="1:14" ht="22.5" customHeight="1">
      <c r="A65" s="108"/>
      <c r="B65" s="93" t="s">
        <v>259</v>
      </c>
      <c r="C65" s="91">
        <v>5.4156200000000003E-3</v>
      </c>
      <c r="D65" s="90">
        <v>940848</v>
      </c>
      <c r="E65" s="97">
        <v>5095</v>
      </c>
      <c r="F65" s="90">
        <v>938301</v>
      </c>
      <c r="G65" s="96">
        <v>26151794</v>
      </c>
      <c r="H65" s="95">
        <v>27.8</v>
      </c>
      <c r="I65" s="91">
        <v>2.6156199999999999E-3</v>
      </c>
      <c r="J65" s="90">
        <v>968649</v>
      </c>
      <c r="K65" s="97">
        <v>2534</v>
      </c>
      <c r="L65" s="90">
        <v>967382</v>
      </c>
      <c r="M65" s="96">
        <v>30204571</v>
      </c>
      <c r="N65" s="95">
        <v>31.18</v>
      </c>
    </row>
    <row r="66" spans="1:14" ht="22.5" customHeight="1">
      <c r="A66" s="108"/>
      <c r="B66" s="93" t="s">
        <v>258</v>
      </c>
      <c r="C66" s="91">
        <v>5.8142100000000002E-3</v>
      </c>
      <c r="D66" s="90">
        <v>935753</v>
      </c>
      <c r="E66" s="97">
        <v>5441</v>
      </c>
      <c r="F66" s="90">
        <v>933033</v>
      </c>
      <c r="G66" s="96">
        <v>25213493</v>
      </c>
      <c r="H66" s="95">
        <v>26.94</v>
      </c>
      <c r="I66" s="91">
        <v>2.77122E-3</v>
      </c>
      <c r="J66" s="90">
        <v>966115</v>
      </c>
      <c r="K66" s="97">
        <v>2677</v>
      </c>
      <c r="L66" s="90">
        <v>964777</v>
      </c>
      <c r="M66" s="96">
        <v>29237189</v>
      </c>
      <c r="N66" s="95">
        <v>30.26</v>
      </c>
    </row>
    <row r="67" spans="1:14" ht="22.5" customHeight="1">
      <c r="A67" s="108"/>
      <c r="B67" s="93" t="s">
        <v>257</v>
      </c>
      <c r="C67" s="91">
        <v>6.25619E-3</v>
      </c>
      <c r="D67" s="90">
        <v>930312</v>
      </c>
      <c r="E67" s="97">
        <v>5820</v>
      </c>
      <c r="F67" s="90">
        <v>927402</v>
      </c>
      <c r="G67" s="96">
        <v>24280460</v>
      </c>
      <c r="H67" s="95">
        <v>26.1</v>
      </c>
      <c r="I67" s="91">
        <v>2.9559199999999999E-3</v>
      </c>
      <c r="J67" s="90">
        <v>963438</v>
      </c>
      <c r="K67" s="97">
        <v>2848</v>
      </c>
      <c r="L67" s="90">
        <v>962014</v>
      </c>
      <c r="M67" s="96">
        <v>28272412</v>
      </c>
      <c r="N67" s="95">
        <v>29.35</v>
      </c>
    </row>
    <row r="68" spans="1:14" ht="22.5" customHeight="1">
      <c r="A68" s="108"/>
      <c r="B68" s="93" t="s">
        <v>256</v>
      </c>
      <c r="C68" s="91">
        <v>6.7651300000000003E-3</v>
      </c>
      <c r="D68" s="90">
        <v>924492</v>
      </c>
      <c r="E68" s="97">
        <v>6254</v>
      </c>
      <c r="F68" s="90">
        <v>921365</v>
      </c>
      <c r="G68" s="96">
        <v>23353058</v>
      </c>
      <c r="H68" s="95">
        <v>25.26</v>
      </c>
      <c r="I68" s="91">
        <v>3.1805100000000001E-3</v>
      </c>
      <c r="J68" s="90">
        <v>960590</v>
      </c>
      <c r="K68" s="97">
        <v>3055</v>
      </c>
      <c r="L68" s="90">
        <v>959063</v>
      </c>
      <c r="M68" s="96">
        <v>27310398</v>
      </c>
      <c r="N68" s="95">
        <v>28.43</v>
      </c>
    </row>
    <row r="69" spans="1:14" ht="22.5" customHeight="1">
      <c r="A69" s="108"/>
      <c r="B69" s="93" t="s">
        <v>255</v>
      </c>
      <c r="C69" s="91">
        <v>7.3645100000000003E-3</v>
      </c>
      <c r="D69" s="90">
        <v>918238</v>
      </c>
      <c r="E69" s="97">
        <v>6762</v>
      </c>
      <c r="F69" s="90">
        <v>914857</v>
      </c>
      <c r="G69" s="96">
        <v>22431693</v>
      </c>
      <c r="H69" s="95">
        <v>24.43</v>
      </c>
      <c r="I69" s="91">
        <v>3.4536100000000002E-3</v>
      </c>
      <c r="J69" s="90">
        <v>957535</v>
      </c>
      <c r="K69" s="97">
        <v>3307</v>
      </c>
      <c r="L69" s="90">
        <v>955882</v>
      </c>
      <c r="M69" s="96">
        <v>26351335</v>
      </c>
      <c r="N69" s="95">
        <v>27.52</v>
      </c>
    </row>
    <row r="70" spans="1:14" ht="22.5" customHeight="1">
      <c r="A70" s="108"/>
      <c r="B70" s="93" t="s">
        <v>254</v>
      </c>
      <c r="C70" s="91">
        <v>8.0689400000000001E-3</v>
      </c>
      <c r="D70" s="90">
        <v>911476</v>
      </c>
      <c r="E70" s="97">
        <v>7355</v>
      </c>
      <c r="F70" s="90">
        <v>907799</v>
      </c>
      <c r="G70" s="96">
        <v>21516836</v>
      </c>
      <c r="H70" s="95">
        <v>23.61</v>
      </c>
      <c r="I70" s="91">
        <v>3.7829199999999999E-3</v>
      </c>
      <c r="J70" s="90">
        <v>954228</v>
      </c>
      <c r="K70" s="97">
        <v>3610</v>
      </c>
      <c r="L70" s="90">
        <v>952423</v>
      </c>
      <c r="M70" s="96">
        <v>25395453</v>
      </c>
      <c r="N70" s="95">
        <v>26.61</v>
      </c>
    </row>
    <row r="71" spans="1:14" ht="22.5" customHeight="1">
      <c r="A71" s="108"/>
      <c r="B71" s="93" t="s">
        <v>253</v>
      </c>
      <c r="C71" s="91">
        <v>8.8856200000000003E-3</v>
      </c>
      <c r="D71" s="90">
        <v>904121</v>
      </c>
      <c r="E71" s="97">
        <v>8034</v>
      </c>
      <c r="F71" s="90">
        <v>900104</v>
      </c>
      <c r="G71" s="96">
        <v>20609037</v>
      </c>
      <c r="H71" s="95">
        <v>22.79</v>
      </c>
      <c r="I71" s="91">
        <v>4.1725299999999998E-3</v>
      </c>
      <c r="J71" s="90">
        <v>950618</v>
      </c>
      <c r="K71" s="97">
        <v>3966</v>
      </c>
      <c r="L71" s="90">
        <v>948635</v>
      </c>
      <c r="M71" s="96">
        <v>24443030</v>
      </c>
      <c r="N71" s="95">
        <v>25.71</v>
      </c>
    </row>
    <row r="72" spans="1:14" ht="22.5" customHeight="1">
      <c r="A72" s="108"/>
      <c r="B72" s="93" t="s">
        <v>252</v>
      </c>
      <c r="C72" s="91">
        <v>9.7633800000000003E-3</v>
      </c>
      <c r="D72" s="90">
        <v>896087</v>
      </c>
      <c r="E72" s="97">
        <v>8749</v>
      </c>
      <c r="F72" s="90">
        <v>891713</v>
      </c>
      <c r="G72" s="96">
        <v>19708933</v>
      </c>
      <c r="H72" s="95">
        <v>21.99</v>
      </c>
      <c r="I72" s="91">
        <v>4.5991000000000001E-3</v>
      </c>
      <c r="J72" s="90">
        <v>946652</v>
      </c>
      <c r="K72" s="97">
        <v>4354</v>
      </c>
      <c r="L72" s="90">
        <v>944475</v>
      </c>
      <c r="M72" s="96">
        <v>23494395</v>
      </c>
      <c r="N72" s="95">
        <v>24.82</v>
      </c>
    </row>
    <row r="73" spans="1:14" ht="22.5" customHeight="1">
      <c r="A73" s="108"/>
      <c r="B73" s="93" t="s">
        <v>251</v>
      </c>
      <c r="C73" s="91">
        <v>1.067624E-2</v>
      </c>
      <c r="D73" s="90">
        <v>887338</v>
      </c>
      <c r="E73" s="97">
        <v>9473</v>
      </c>
      <c r="F73" s="90">
        <v>882602</v>
      </c>
      <c r="G73" s="96">
        <v>18817220</v>
      </c>
      <c r="H73" s="95">
        <v>21.21</v>
      </c>
      <c r="I73" s="91">
        <v>5.0505599999999999E-3</v>
      </c>
      <c r="J73" s="90">
        <v>942298</v>
      </c>
      <c r="K73" s="97">
        <v>4759</v>
      </c>
      <c r="L73" s="90">
        <v>939919</v>
      </c>
      <c r="M73" s="96">
        <v>22549920</v>
      </c>
      <c r="N73" s="95">
        <v>23.93</v>
      </c>
    </row>
    <row r="74" spans="1:14" ht="22.5" customHeight="1">
      <c r="A74" s="108"/>
      <c r="B74" s="93" t="s">
        <v>250</v>
      </c>
      <c r="C74" s="91">
        <v>1.16233E-2</v>
      </c>
      <c r="D74" s="90">
        <v>877865</v>
      </c>
      <c r="E74" s="92">
        <v>10204</v>
      </c>
      <c r="F74" s="90">
        <v>872763</v>
      </c>
      <c r="G74" s="96">
        <v>17934618</v>
      </c>
      <c r="H74" s="95">
        <v>20.43</v>
      </c>
      <c r="I74" s="91">
        <v>5.5260600000000002E-3</v>
      </c>
      <c r="J74" s="90">
        <v>937539</v>
      </c>
      <c r="K74" s="97">
        <v>5181</v>
      </c>
      <c r="L74" s="90">
        <v>934949</v>
      </c>
      <c r="M74" s="96">
        <v>21610001</v>
      </c>
      <c r="N74" s="95">
        <v>23.05</v>
      </c>
    </row>
    <row r="75" spans="1:14" ht="22.5" customHeight="1">
      <c r="A75" s="108"/>
      <c r="B75" s="93" t="s">
        <v>249</v>
      </c>
      <c r="C75" s="91">
        <v>1.2639579999999999E-2</v>
      </c>
      <c r="D75" s="90">
        <v>867661</v>
      </c>
      <c r="E75" s="92">
        <v>10967</v>
      </c>
      <c r="F75" s="90">
        <v>862178</v>
      </c>
      <c r="G75" s="96">
        <v>17061855</v>
      </c>
      <c r="H75" s="95">
        <v>19.66</v>
      </c>
      <c r="I75" s="91">
        <v>6.0421700000000004E-3</v>
      </c>
      <c r="J75" s="90">
        <v>932358</v>
      </c>
      <c r="K75" s="97">
        <v>5633</v>
      </c>
      <c r="L75" s="90">
        <v>929542</v>
      </c>
      <c r="M75" s="96">
        <v>20675052</v>
      </c>
      <c r="N75" s="95">
        <v>22.18</v>
      </c>
    </row>
    <row r="76" spans="1:14" ht="22.5" customHeight="1">
      <c r="A76" s="108"/>
      <c r="B76" s="93" t="s">
        <v>248</v>
      </c>
      <c r="C76" s="91">
        <v>1.3781160000000001E-2</v>
      </c>
      <c r="D76" s="90">
        <v>856694</v>
      </c>
      <c r="E76" s="92">
        <v>11806</v>
      </c>
      <c r="F76" s="90">
        <v>850791</v>
      </c>
      <c r="G76" s="96">
        <v>16199677</v>
      </c>
      <c r="H76" s="95">
        <v>18.91</v>
      </c>
      <c r="I76" s="91">
        <v>6.6252300000000002E-3</v>
      </c>
      <c r="J76" s="90">
        <v>926725</v>
      </c>
      <c r="K76" s="97">
        <v>6140</v>
      </c>
      <c r="L76" s="90">
        <v>923655</v>
      </c>
      <c r="M76" s="96">
        <v>19745510</v>
      </c>
      <c r="N76" s="95">
        <v>21.31</v>
      </c>
    </row>
    <row r="77" spans="1:14" ht="22.5" customHeight="1">
      <c r="A77" s="108"/>
      <c r="B77" s="93" t="s">
        <v>247</v>
      </c>
      <c r="C77" s="91">
        <v>1.5177939999999999E-2</v>
      </c>
      <c r="D77" s="90">
        <v>844888</v>
      </c>
      <c r="E77" s="92">
        <v>12824</v>
      </c>
      <c r="F77" s="90">
        <v>838476</v>
      </c>
      <c r="G77" s="96">
        <v>15348886</v>
      </c>
      <c r="H77" s="95">
        <v>18.170000000000002</v>
      </c>
      <c r="I77" s="91">
        <v>7.2870900000000004E-3</v>
      </c>
      <c r="J77" s="90">
        <v>920585</v>
      </c>
      <c r="K77" s="97">
        <v>6708</v>
      </c>
      <c r="L77" s="90">
        <v>917231</v>
      </c>
      <c r="M77" s="96">
        <v>18821855</v>
      </c>
      <c r="N77" s="95">
        <v>20.45</v>
      </c>
    </row>
    <row r="78" spans="1:14" ht="22.5" customHeight="1">
      <c r="A78" s="108"/>
      <c r="B78" s="93" t="s">
        <v>246</v>
      </c>
      <c r="C78" s="91">
        <v>1.691952E-2</v>
      </c>
      <c r="D78" s="90">
        <v>832064</v>
      </c>
      <c r="E78" s="92">
        <v>14078</v>
      </c>
      <c r="F78" s="90">
        <v>825025</v>
      </c>
      <c r="G78" s="96">
        <v>14510410</v>
      </c>
      <c r="H78" s="95">
        <v>17.440000000000001</v>
      </c>
      <c r="I78" s="91">
        <v>8.0549100000000002E-3</v>
      </c>
      <c r="J78" s="90">
        <v>913877</v>
      </c>
      <c r="K78" s="97">
        <v>7361</v>
      </c>
      <c r="L78" s="90">
        <v>910197</v>
      </c>
      <c r="M78" s="96">
        <v>17904624</v>
      </c>
      <c r="N78" s="95">
        <v>19.59</v>
      </c>
    </row>
    <row r="79" spans="1:14" ht="22.5" customHeight="1">
      <c r="A79" s="108"/>
      <c r="B79" s="93" t="s">
        <v>245</v>
      </c>
      <c r="C79" s="91">
        <v>1.905521E-2</v>
      </c>
      <c r="D79" s="90">
        <v>817986</v>
      </c>
      <c r="E79" s="92">
        <v>15587</v>
      </c>
      <c r="F79" s="90">
        <v>810193</v>
      </c>
      <c r="G79" s="96">
        <v>13685385</v>
      </c>
      <c r="H79" s="95">
        <v>16.73</v>
      </c>
      <c r="I79" s="91">
        <v>8.9710699999999994E-3</v>
      </c>
      <c r="J79" s="90">
        <v>906516</v>
      </c>
      <c r="K79" s="97">
        <v>8132</v>
      </c>
      <c r="L79" s="90">
        <v>902450</v>
      </c>
      <c r="M79" s="96">
        <v>16994427</v>
      </c>
      <c r="N79" s="95">
        <v>18.75</v>
      </c>
    </row>
    <row r="80" spans="1:14" ht="22.5" customHeight="1">
      <c r="A80" s="108"/>
      <c r="B80" s="93" t="s">
        <v>244</v>
      </c>
      <c r="C80" s="91">
        <v>2.159467E-2</v>
      </c>
      <c r="D80" s="90">
        <v>802399</v>
      </c>
      <c r="E80" s="92">
        <v>17328</v>
      </c>
      <c r="F80" s="90">
        <v>793735</v>
      </c>
      <c r="G80" s="96">
        <v>12875192</v>
      </c>
      <c r="H80" s="95">
        <v>16.05</v>
      </c>
      <c r="I80" s="91">
        <v>1.0078500000000001E-2</v>
      </c>
      <c r="J80" s="90">
        <v>898384</v>
      </c>
      <c r="K80" s="97">
        <v>9054</v>
      </c>
      <c r="L80" s="90">
        <v>893857</v>
      </c>
      <c r="M80" s="96">
        <v>16091977</v>
      </c>
      <c r="N80" s="95">
        <v>17.91</v>
      </c>
    </row>
    <row r="81" spans="1:14" ht="22.5" customHeight="1">
      <c r="A81" s="108"/>
      <c r="B81" s="93" t="s">
        <v>243</v>
      </c>
      <c r="C81" s="91">
        <v>2.450426E-2</v>
      </c>
      <c r="D81" s="90">
        <v>785071</v>
      </c>
      <c r="E81" s="92">
        <v>19238</v>
      </c>
      <c r="F81" s="90">
        <v>775452</v>
      </c>
      <c r="G81" s="96">
        <v>12081457</v>
      </c>
      <c r="H81" s="95">
        <v>15.39</v>
      </c>
      <c r="I81" s="91">
        <v>1.141853E-2</v>
      </c>
      <c r="J81" s="90">
        <v>889330</v>
      </c>
      <c r="K81" s="92">
        <v>10155</v>
      </c>
      <c r="L81" s="90">
        <v>884253</v>
      </c>
      <c r="M81" s="96">
        <v>15198120</v>
      </c>
      <c r="N81" s="95">
        <v>17.09</v>
      </c>
    </row>
    <row r="82" spans="1:14" ht="22.5" customHeight="1">
      <c r="A82" s="108"/>
      <c r="B82" s="93" t="s">
        <v>242</v>
      </c>
      <c r="C82" s="91">
        <v>2.7700659999999998E-2</v>
      </c>
      <c r="D82" s="90">
        <v>765833</v>
      </c>
      <c r="E82" s="92">
        <v>21214</v>
      </c>
      <c r="F82" s="90">
        <v>755226</v>
      </c>
      <c r="G82" s="96">
        <v>11306005</v>
      </c>
      <c r="H82" s="95">
        <v>14.76</v>
      </c>
      <c r="I82" s="91">
        <v>1.302378E-2</v>
      </c>
      <c r="J82" s="90">
        <v>879175</v>
      </c>
      <c r="K82" s="92">
        <v>11450</v>
      </c>
      <c r="L82" s="90">
        <v>873450</v>
      </c>
      <c r="M82" s="96">
        <v>14313867</v>
      </c>
      <c r="N82" s="95">
        <v>16.28</v>
      </c>
    </row>
    <row r="83" spans="1:14" ht="22.5" customHeight="1">
      <c r="A83" s="108"/>
      <c r="B83" s="93" t="s">
        <v>241</v>
      </c>
      <c r="C83" s="91">
        <v>3.1090380000000001E-2</v>
      </c>
      <c r="D83" s="90">
        <v>744619</v>
      </c>
      <c r="E83" s="92">
        <v>23150</v>
      </c>
      <c r="F83" s="90">
        <v>733044</v>
      </c>
      <c r="G83" s="96">
        <v>10550779</v>
      </c>
      <c r="H83" s="95">
        <v>14.17</v>
      </c>
      <c r="I83" s="91">
        <v>1.491757E-2</v>
      </c>
      <c r="J83" s="90">
        <v>867725</v>
      </c>
      <c r="K83" s="92">
        <v>12944</v>
      </c>
      <c r="L83" s="90">
        <v>861253</v>
      </c>
      <c r="M83" s="96">
        <v>13440417</v>
      </c>
      <c r="N83" s="95">
        <v>15.49</v>
      </c>
    </row>
    <row r="84" spans="1:14" ht="22.5" customHeight="1">
      <c r="A84" s="108"/>
      <c r="B84" s="93" t="s">
        <v>240</v>
      </c>
      <c r="C84" s="91">
        <v>3.4587060000000003E-2</v>
      </c>
      <c r="D84" s="90">
        <v>721469</v>
      </c>
      <c r="E84" s="92">
        <v>24953</v>
      </c>
      <c r="F84" s="90">
        <v>708993</v>
      </c>
      <c r="G84" s="94">
        <v>9817735</v>
      </c>
      <c r="H84" s="95">
        <v>13.61</v>
      </c>
      <c r="I84" s="91">
        <v>1.7114440000000002E-2</v>
      </c>
      <c r="J84" s="90">
        <v>854781</v>
      </c>
      <c r="K84" s="92">
        <v>14629</v>
      </c>
      <c r="L84" s="90">
        <v>847467</v>
      </c>
      <c r="M84" s="96">
        <v>12579164</v>
      </c>
      <c r="N84" s="95">
        <v>14.72</v>
      </c>
    </row>
    <row r="85" spans="1:14" ht="22.5" customHeight="1">
      <c r="A85" s="108"/>
      <c r="B85" s="93" t="s">
        <v>239</v>
      </c>
      <c r="C85" s="91">
        <v>3.8106220000000003E-2</v>
      </c>
      <c r="D85" s="90">
        <v>696516</v>
      </c>
      <c r="E85" s="92">
        <v>26542</v>
      </c>
      <c r="F85" s="90">
        <v>683245</v>
      </c>
      <c r="G85" s="94">
        <v>9108742</v>
      </c>
      <c r="H85" s="95">
        <v>13.08</v>
      </c>
      <c r="I85" s="91">
        <v>1.9625150000000001E-2</v>
      </c>
      <c r="J85" s="90">
        <v>840152</v>
      </c>
      <c r="K85" s="92">
        <v>16488</v>
      </c>
      <c r="L85" s="90">
        <v>831908</v>
      </c>
      <c r="M85" s="96">
        <v>11731697</v>
      </c>
      <c r="N85" s="95">
        <v>13.96</v>
      </c>
    </row>
    <row r="86" spans="1:14" ht="22.5" customHeight="1">
      <c r="A86" s="108"/>
      <c r="B86" s="93" t="s">
        <v>238</v>
      </c>
      <c r="C86" s="91">
        <v>4.1587369999999999E-2</v>
      </c>
      <c r="D86" s="90">
        <v>669974</v>
      </c>
      <c r="E86" s="92">
        <v>27862</v>
      </c>
      <c r="F86" s="90">
        <v>656043</v>
      </c>
      <c r="G86" s="94">
        <v>8425497</v>
      </c>
      <c r="H86" s="95">
        <v>12.58</v>
      </c>
      <c r="I86" s="91">
        <v>2.245225E-2</v>
      </c>
      <c r="J86" s="90">
        <v>823664</v>
      </c>
      <c r="K86" s="92">
        <v>18493</v>
      </c>
      <c r="L86" s="90">
        <v>814418</v>
      </c>
      <c r="M86" s="96">
        <v>10899789</v>
      </c>
      <c r="N86" s="95">
        <v>13.23</v>
      </c>
    </row>
    <row r="87" spans="1:14" ht="22.5" customHeight="1">
      <c r="A87" s="108"/>
      <c r="B87" s="93" t="s">
        <v>237</v>
      </c>
      <c r="C87" s="91">
        <v>4.5008119999999999E-2</v>
      </c>
      <c r="D87" s="90">
        <v>642112</v>
      </c>
      <c r="E87" s="92">
        <v>28900</v>
      </c>
      <c r="F87" s="90">
        <v>627662</v>
      </c>
      <c r="G87" s="94">
        <v>7769454</v>
      </c>
      <c r="H87" s="95">
        <v>12.1</v>
      </c>
      <c r="I87" s="91">
        <v>2.5600769999999998E-2</v>
      </c>
      <c r="J87" s="90">
        <v>805171</v>
      </c>
      <c r="K87" s="92">
        <v>20613</v>
      </c>
      <c r="L87" s="90">
        <v>794865</v>
      </c>
      <c r="M87" s="96">
        <v>10085371</v>
      </c>
      <c r="N87" s="95">
        <v>12.53</v>
      </c>
    </row>
    <row r="88" spans="1:14" ht="22.5" customHeight="1">
      <c r="A88" s="108"/>
      <c r="B88" s="93" t="s">
        <v>236</v>
      </c>
      <c r="C88" s="91">
        <v>4.8347859999999999E-2</v>
      </c>
      <c r="D88" s="90">
        <v>613212</v>
      </c>
      <c r="E88" s="92">
        <v>29647</v>
      </c>
      <c r="F88" s="90">
        <v>598389</v>
      </c>
      <c r="G88" s="94">
        <v>7141792</v>
      </c>
      <c r="H88" s="95">
        <v>11.65</v>
      </c>
      <c r="I88" s="91">
        <v>2.906864E-2</v>
      </c>
      <c r="J88" s="90">
        <v>784558</v>
      </c>
      <c r="K88" s="92">
        <v>22806</v>
      </c>
      <c r="L88" s="90">
        <v>773155</v>
      </c>
      <c r="M88" s="94">
        <v>9290506</v>
      </c>
      <c r="N88" s="95">
        <v>11.84</v>
      </c>
    </row>
    <row r="89" spans="1:14" ht="22.5" customHeight="1">
      <c r="A89" s="108"/>
      <c r="B89" s="93" t="s">
        <v>235</v>
      </c>
      <c r="C89" s="91">
        <v>5.1599029999999997E-2</v>
      </c>
      <c r="D89" s="90">
        <v>583565</v>
      </c>
      <c r="E89" s="92">
        <v>30111</v>
      </c>
      <c r="F89" s="90">
        <v>568510</v>
      </c>
      <c r="G89" s="94">
        <v>6543403</v>
      </c>
      <c r="H89" s="95">
        <v>11.21</v>
      </c>
      <c r="I89" s="91">
        <v>3.2852190000000003E-2</v>
      </c>
      <c r="J89" s="90">
        <v>761752</v>
      </c>
      <c r="K89" s="92">
        <v>25025</v>
      </c>
      <c r="L89" s="90">
        <v>749240</v>
      </c>
      <c r="M89" s="94">
        <v>8517351</v>
      </c>
      <c r="N89" s="95">
        <v>11.18</v>
      </c>
    </row>
    <row r="90" spans="1:14" ht="22.5" customHeight="1">
      <c r="A90" s="108"/>
      <c r="B90" s="93" t="s">
        <v>234</v>
      </c>
      <c r="C90" s="91">
        <v>5.4762459999999999E-2</v>
      </c>
      <c r="D90" s="90">
        <v>553454</v>
      </c>
      <c r="E90" s="92">
        <v>30309</v>
      </c>
      <c r="F90" s="90">
        <v>538300</v>
      </c>
      <c r="G90" s="94">
        <v>5974893</v>
      </c>
      <c r="H90" s="95">
        <v>10.8</v>
      </c>
      <c r="I90" s="91">
        <v>3.6947729999999998E-2</v>
      </c>
      <c r="J90" s="90">
        <v>736727</v>
      </c>
      <c r="K90" s="92">
        <v>27220</v>
      </c>
      <c r="L90" s="90">
        <v>723117</v>
      </c>
      <c r="M90" s="94">
        <v>7768111</v>
      </c>
      <c r="N90" s="95">
        <v>10.54</v>
      </c>
    </row>
    <row r="91" spans="1:14" ht="22.5" customHeight="1">
      <c r="A91" s="108"/>
      <c r="B91" s="93" t="s">
        <v>233</v>
      </c>
      <c r="C91" s="91">
        <v>5.7838970000000003E-2</v>
      </c>
      <c r="D91" s="90">
        <v>523145</v>
      </c>
      <c r="E91" s="92">
        <v>30258</v>
      </c>
      <c r="F91" s="90">
        <v>508016</v>
      </c>
      <c r="G91" s="94">
        <v>5436593</v>
      </c>
      <c r="H91" s="95">
        <v>10.39</v>
      </c>
      <c r="I91" s="91">
        <v>4.1351279999999997E-2</v>
      </c>
      <c r="J91" s="90">
        <v>709507</v>
      </c>
      <c r="K91" s="92">
        <v>29339</v>
      </c>
      <c r="L91" s="90">
        <v>694838</v>
      </c>
      <c r="M91" s="94">
        <v>7044994</v>
      </c>
      <c r="N91" s="89">
        <v>9.93</v>
      </c>
    </row>
    <row r="92" spans="1:14" ht="22.5" customHeight="1">
      <c r="A92" s="108"/>
      <c r="B92" s="93" t="s">
        <v>232</v>
      </c>
      <c r="C92" s="91">
        <v>6.1082879999999999E-2</v>
      </c>
      <c r="D92" s="90">
        <v>492887</v>
      </c>
      <c r="E92" s="92">
        <v>30107</v>
      </c>
      <c r="F92" s="90">
        <v>477834</v>
      </c>
      <c r="G92" s="94">
        <v>4928577</v>
      </c>
      <c r="H92" s="95">
        <v>10</v>
      </c>
      <c r="I92" s="91">
        <v>4.6252040000000001E-2</v>
      </c>
      <c r="J92" s="90">
        <v>680168</v>
      </c>
      <c r="K92" s="92">
        <v>31459</v>
      </c>
      <c r="L92" s="90">
        <v>664439</v>
      </c>
      <c r="M92" s="94">
        <v>6350156</v>
      </c>
      <c r="N92" s="89">
        <v>9.34</v>
      </c>
    </row>
    <row r="93" spans="1:14" ht="22.5" customHeight="1">
      <c r="A93" s="108"/>
      <c r="B93" s="93" t="s">
        <v>231</v>
      </c>
      <c r="C93" s="91">
        <v>6.4502680000000007E-2</v>
      </c>
      <c r="D93" s="90">
        <v>462780</v>
      </c>
      <c r="E93" s="92">
        <v>29851</v>
      </c>
      <c r="F93" s="90">
        <v>447855</v>
      </c>
      <c r="G93" s="94">
        <v>4450743</v>
      </c>
      <c r="H93" s="89">
        <v>9.6199999999999992</v>
      </c>
      <c r="I93" s="91">
        <v>5.1701289999999997E-2</v>
      </c>
      <c r="J93" s="90">
        <v>648709</v>
      </c>
      <c r="K93" s="92">
        <v>33539</v>
      </c>
      <c r="L93" s="90">
        <v>631940</v>
      </c>
      <c r="M93" s="94">
        <v>5685717</v>
      </c>
      <c r="N93" s="89">
        <v>8.76</v>
      </c>
    </row>
    <row r="94" spans="1:14" ht="22.5" customHeight="1">
      <c r="A94" s="108"/>
      <c r="B94" s="93" t="s">
        <v>230</v>
      </c>
      <c r="C94" s="91">
        <v>6.8107219999999996E-2</v>
      </c>
      <c r="D94" s="90">
        <v>432929</v>
      </c>
      <c r="E94" s="92">
        <v>29486</v>
      </c>
      <c r="F94" s="90">
        <v>418186</v>
      </c>
      <c r="G94" s="94">
        <v>4002888</v>
      </c>
      <c r="H94" s="89">
        <v>9.25</v>
      </c>
      <c r="I94" s="91">
        <v>5.7754670000000001E-2</v>
      </c>
      <c r="J94" s="90">
        <v>615170</v>
      </c>
      <c r="K94" s="92">
        <v>35529</v>
      </c>
      <c r="L94" s="90">
        <v>597406</v>
      </c>
      <c r="M94" s="94">
        <v>5053777</v>
      </c>
      <c r="N94" s="89">
        <v>8.2200000000000006</v>
      </c>
    </row>
    <row r="95" spans="1:14" ht="22.5" customHeight="1">
      <c r="A95" s="108"/>
      <c r="B95" s="93" t="s">
        <v>229</v>
      </c>
      <c r="C95" s="91">
        <v>7.1905709999999998E-2</v>
      </c>
      <c r="D95" s="90">
        <v>403443</v>
      </c>
      <c r="E95" s="92">
        <v>29010</v>
      </c>
      <c r="F95" s="90">
        <v>388938</v>
      </c>
      <c r="G95" s="94">
        <v>3584702</v>
      </c>
      <c r="H95" s="89">
        <v>8.89</v>
      </c>
      <c r="I95" s="91">
        <v>6.4472280000000007E-2</v>
      </c>
      <c r="J95" s="90">
        <v>579641</v>
      </c>
      <c r="K95" s="92">
        <v>37371</v>
      </c>
      <c r="L95" s="90">
        <v>560956</v>
      </c>
      <c r="M95" s="94">
        <v>4456371</v>
      </c>
      <c r="N95" s="89">
        <v>7.69</v>
      </c>
    </row>
    <row r="96" spans="1:14" ht="22.5" customHeight="1">
      <c r="A96" s="108"/>
      <c r="B96" s="93" t="s">
        <v>228</v>
      </c>
      <c r="C96" s="91">
        <v>7.5907719999999998E-2</v>
      </c>
      <c r="D96" s="90">
        <v>374433</v>
      </c>
      <c r="E96" s="92">
        <v>28422</v>
      </c>
      <c r="F96" s="90">
        <v>360222</v>
      </c>
      <c r="G96" s="94">
        <v>3195764</v>
      </c>
      <c r="H96" s="89">
        <v>8.5299999999999994</v>
      </c>
      <c r="I96" s="91">
        <v>7.1918930000000006E-2</v>
      </c>
      <c r="J96" s="90">
        <v>542270</v>
      </c>
      <c r="K96" s="92">
        <v>38999</v>
      </c>
      <c r="L96" s="90">
        <v>522771</v>
      </c>
      <c r="M96" s="94">
        <v>3895415</v>
      </c>
      <c r="N96" s="89">
        <v>7.18</v>
      </c>
    </row>
    <row r="97" spans="1:14" ht="22.5" customHeight="1">
      <c r="A97" s="108"/>
      <c r="B97" s="93" t="s">
        <v>227</v>
      </c>
      <c r="C97" s="91">
        <v>8.0123219999999995E-2</v>
      </c>
      <c r="D97" s="90">
        <v>346011</v>
      </c>
      <c r="E97" s="92">
        <v>27724</v>
      </c>
      <c r="F97" s="90">
        <v>332149</v>
      </c>
      <c r="G97" s="94">
        <v>2835542</v>
      </c>
      <c r="H97" s="89">
        <v>8.19</v>
      </c>
      <c r="I97" s="91">
        <v>8.0164079999999999E-2</v>
      </c>
      <c r="J97" s="90">
        <v>503271</v>
      </c>
      <c r="K97" s="92">
        <v>40344</v>
      </c>
      <c r="L97" s="90">
        <v>483099</v>
      </c>
      <c r="M97" s="94">
        <v>3372644</v>
      </c>
      <c r="N97" s="89">
        <v>6.7</v>
      </c>
    </row>
    <row r="98" spans="1:14" ht="22.5" customHeight="1">
      <c r="A98" s="108"/>
      <c r="B98" s="93" t="s">
        <v>226</v>
      </c>
      <c r="C98" s="91">
        <v>8.4562529999999997E-2</v>
      </c>
      <c r="D98" s="90">
        <v>318287</v>
      </c>
      <c r="E98" s="92">
        <v>26915</v>
      </c>
      <c r="F98" s="90">
        <v>304830</v>
      </c>
      <c r="G98" s="94">
        <v>2503393</v>
      </c>
      <c r="H98" s="89">
        <v>7.87</v>
      </c>
      <c r="I98" s="91">
        <v>8.9281959999999994E-2</v>
      </c>
      <c r="J98" s="90">
        <v>462927</v>
      </c>
      <c r="K98" s="92">
        <v>41331</v>
      </c>
      <c r="L98" s="90">
        <v>442262</v>
      </c>
      <c r="M98" s="94">
        <v>2889545</v>
      </c>
      <c r="N98" s="89">
        <v>6.24</v>
      </c>
    </row>
    <row r="99" spans="1:14" ht="22.5" customHeight="1">
      <c r="A99" s="108"/>
      <c r="B99" s="93" t="s">
        <v>225</v>
      </c>
      <c r="C99" s="91">
        <v>8.9236369999999995E-2</v>
      </c>
      <c r="D99" s="90">
        <v>291372</v>
      </c>
      <c r="E99" s="92">
        <v>26001</v>
      </c>
      <c r="F99" s="90">
        <v>278372</v>
      </c>
      <c r="G99" s="94">
        <v>2198563</v>
      </c>
      <c r="H99" s="89">
        <v>7.55</v>
      </c>
      <c r="I99" s="91">
        <v>9.9351380000000003E-2</v>
      </c>
      <c r="J99" s="90">
        <v>421596</v>
      </c>
      <c r="K99" s="92">
        <v>41886</v>
      </c>
      <c r="L99" s="90">
        <v>400653</v>
      </c>
      <c r="M99" s="94">
        <v>2447283</v>
      </c>
      <c r="N99" s="89">
        <v>5.8</v>
      </c>
    </row>
    <row r="100" spans="1:14" ht="22.5" customHeight="1">
      <c r="A100" s="108"/>
      <c r="B100" s="93" t="s">
        <v>224</v>
      </c>
      <c r="C100" s="91">
        <v>9.4155849999999999E-2</v>
      </c>
      <c r="D100" s="90">
        <v>265371</v>
      </c>
      <c r="E100" s="92">
        <v>24986</v>
      </c>
      <c r="F100" s="90">
        <v>252878</v>
      </c>
      <c r="G100" s="94">
        <v>1920191</v>
      </c>
      <c r="H100" s="89">
        <v>7.24</v>
      </c>
      <c r="I100" s="91">
        <v>0.11045558</v>
      </c>
      <c r="J100" s="90">
        <v>379710</v>
      </c>
      <c r="K100" s="92">
        <v>41941</v>
      </c>
      <c r="L100" s="90">
        <v>358740</v>
      </c>
      <c r="M100" s="94">
        <v>2046630</v>
      </c>
      <c r="N100" s="89">
        <v>5.39</v>
      </c>
    </row>
    <row r="101" spans="1:14" ht="22.5" customHeight="1">
      <c r="A101" s="108"/>
      <c r="B101" s="93" t="s">
        <v>223</v>
      </c>
      <c r="C101" s="91">
        <v>9.9332420000000005E-2</v>
      </c>
      <c r="D101" s="90">
        <v>240385</v>
      </c>
      <c r="E101" s="92">
        <v>23878</v>
      </c>
      <c r="F101" s="90">
        <v>228446</v>
      </c>
      <c r="G101" s="94">
        <v>1667313</v>
      </c>
      <c r="H101" s="89">
        <v>6.94</v>
      </c>
      <c r="I101" s="91">
        <v>0.12268191000000001</v>
      </c>
      <c r="J101" s="90">
        <v>337769</v>
      </c>
      <c r="K101" s="92">
        <v>41438</v>
      </c>
      <c r="L101" s="90">
        <v>317050</v>
      </c>
      <c r="M101" s="94">
        <v>1687890</v>
      </c>
      <c r="N101" s="89">
        <v>5</v>
      </c>
    </row>
    <row r="102" spans="1:14" ht="22.5" customHeight="1">
      <c r="A102" s="108"/>
      <c r="B102" s="93" t="s">
        <v>222</v>
      </c>
      <c r="C102" s="91">
        <v>0.10477796</v>
      </c>
      <c r="D102" s="90">
        <v>216507</v>
      </c>
      <c r="E102" s="92">
        <v>22685</v>
      </c>
      <c r="F102" s="90">
        <v>205165</v>
      </c>
      <c r="G102" s="94">
        <v>1438867</v>
      </c>
      <c r="H102" s="89">
        <v>6.65</v>
      </c>
      <c r="I102" s="91">
        <v>0.13612125999999999</v>
      </c>
      <c r="J102" s="90">
        <v>296331</v>
      </c>
      <c r="K102" s="92">
        <v>40337</v>
      </c>
      <c r="L102" s="90">
        <v>276163</v>
      </c>
      <c r="M102" s="94">
        <v>1370840</v>
      </c>
      <c r="N102" s="89">
        <v>4.63</v>
      </c>
    </row>
    <row r="103" spans="1:14" ht="22.5" customHeight="1">
      <c r="A103" s="108"/>
      <c r="B103" s="93" t="s">
        <v>221</v>
      </c>
      <c r="C103" s="91">
        <v>0.11050466</v>
      </c>
      <c r="D103" s="90">
        <v>193822</v>
      </c>
      <c r="E103" s="92">
        <v>21418</v>
      </c>
      <c r="F103" s="90">
        <v>183113</v>
      </c>
      <c r="G103" s="94">
        <v>1233702</v>
      </c>
      <c r="H103" s="89">
        <v>6.37</v>
      </c>
      <c r="I103" s="91">
        <v>0.15086746000000001</v>
      </c>
      <c r="J103" s="90">
        <v>255994</v>
      </c>
      <c r="K103" s="92">
        <v>38621</v>
      </c>
      <c r="L103" s="90">
        <v>236684</v>
      </c>
      <c r="M103" s="94">
        <v>1094677</v>
      </c>
      <c r="N103" s="89">
        <v>4.28</v>
      </c>
    </row>
    <row r="104" spans="1:14" ht="22.5" customHeight="1">
      <c r="A104" s="108"/>
      <c r="B104" s="93" t="s">
        <v>220</v>
      </c>
      <c r="C104" s="91">
        <v>0.11652512</v>
      </c>
      <c r="D104" s="90">
        <v>172404</v>
      </c>
      <c r="E104" s="92">
        <v>20089</v>
      </c>
      <c r="F104" s="90">
        <v>162360</v>
      </c>
      <c r="G104" s="94">
        <v>1050589</v>
      </c>
      <c r="H104" s="89">
        <v>6.09</v>
      </c>
      <c r="I104" s="91">
        <v>0.16701632</v>
      </c>
      <c r="J104" s="90">
        <v>217373</v>
      </c>
      <c r="K104" s="92">
        <v>36305</v>
      </c>
      <c r="L104" s="90">
        <v>199221</v>
      </c>
      <c r="M104" s="90">
        <v>857993</v>
      </c>
      <c r="N104" s="89">
        <v>3.95</v>
      </c>
    </row>
    <row r="105" spans="1:14" ht="22.5" customHeight="1">
      <c r="A105" s="108"/>
      <c r="B105" s="93" t="s">
        <v>219</v>
      </c>
      <c r="C105" s="91">
        <v>0.12285226</v>
      </c>
      <c r="D105" s="90">
        <v>152315</v>
      </c>
      <c r="E105" s="92">
        <v>18712</v>
      </c>
      <c r="F105" s="90">
        <v>142959</v>
      </c>
      <c r="G105" s="90">
        <v>888229</v>
      </c>
      <c r="H105" s="89">
        <v>5.83</v>
      </c>
      <c r="I105" s="91">
        <v>0.18466457</v>
      </c>
      <c r="J105" s="90">
        <v>181068</v>
      </c>
      <c r="K105" s="92">
        <v>33437</v>
      </c>
      <c r="L105" s="90">
        <v>164350</v>
      </c>
      <c r="M105" s="90">
        <v>658772</v>
      </c>
      <c r="N105" s="89">
        <v>3.64</v>
      </c>
    </row>
    <row r="106" spans="1:14" ht="22.5" customHeight="1">
      <c r="A106" s="108"/>
      <c r="B106" s="93" t="s">
        <v>218</v>
      </c>
      <c r="C106" s="91">
        <v>0.12949933</v>
      </c>
      <c r="D106" s="90">
        <v>133603</v>
      </c>
      <c r="E106" s="92">
        <v>17301</v>
      </c>
      <c r="F106" s="90">
        <v>124953</v>
      </c>
      <c r="G106" s="90">
        <v>745270</v>
      </c>
      <c r="H106" s="89">
        <v>5.58</v>
      </c>
      <c r="I106" s="91">
        <v>0.20390838999999999</v>
      </c>
      <c r="J106" s="90">
        <v>147631</v>
      </c>
      <c r="K106" s="92">
        <v>30103</v>
      </c>
      <c r="L106" s="90">
        <v>132580</v>
      </c>
      <c r="M106" s="90">
        <v>494422</v>
      </c>
      <c r="N106" s="89">
        <v>3.35</v>
      </c>
    </row>
    <row r="107" spans="1:14" ht="22.5" customHeight="1">
      <c r="A107" s="108"/>
      <c r="B107" s="93" t="s">
        <v>217</v>
      </c>
      <c r="C107" s="91">
        <v>1</v>
      </c>
      <c r="D107" s="90">
        <v>116302</v>
      </c>
      <c r="E107" s="90">
        <v>116302</v>
      </c>
      <c r="F107" s="90">
        <v>620317</v>
      </c>
      <c r="G107" s="90">
        <v>620317</v>
      </c>
      <c r="H107" s="89">
        <v>5.33</v>
      </c>
      <c r="I107" s="91">
        <v>1</v>
      </c>
      <c r="J107" s="90">
        <v>117528</v>
      </c>
      <c r="K107" s="90">
        <v>117528</v>
      </c>
      <c r="L107" s="90">
        <v>361842</v>
      </c>
      <c r="M107" s="90">
        <v>361842</v>
      </c>
      <c r="N107" s="89">
        <v>3.08</v>
      </c>
    </row>
    <row r="108" spans="1:14" ht="21.75" customHeight="1">
      <c r="A108" s="108" t="s">
        <v>320</v>
      </c>
      <c r="B108" s="93" t="s">
        <v>317</v>
      </c>
      <c r="C108" s="91">
        <v>1.4076E-3</v>
      </c>
      <c r="D108" s="94">
        <v>1000000</v>
      </c>
      <c r="E108" s="97">
        <v>1408</v>
      </c>
      <c r="F108" s="90">
        <v>998696</v>
      </c>
      <c r="G108" s="96">
        <v>83240021</v>
      </c>
      <c r="H108" s="95">
        <v>83.24</v>
      </c>
      <c r="I108" s="91">
        <v>1.2574000000000001E-3</v>
      </c>
      <c r="J108" s="94">
        <v>1000000</v>
      </c>
      <c r="K108" s="97">
        <v>1257</v>
      </c>
      <c r="L108" s="90">
        <v>998907</v>
      </c>
      <c r="M108" s="96">
        <v>87939507</v>
      </c>
      <c r="N108" s="95">
        <v>87.94</v>
      </c>
    </row>
    <row r="109" spans="1:14" ht="22.5" customHeight="1">
      <c r="A109" s="108"/>
      <c r="B109" s="93" t="s">
        <v>316</v>
      </c>
      <c r="C109" s="91">
        <v>2.1066999999999999E-4</v>
      </c>
      <c r="D109" s="90">
        <v>998592</v>
      </c>
      <c r="E109" s="98">
        <v>210</v>
      </c>
      <c r="F109" s="90">
        <v>998487</v>
      </c>
      <c r="G109" s="96">
        <v>82241325</v>
      </c>
      <c r="H109" s="95">
        <v>82.36</v>
      </c>
      <c r="I109" s="91">
        <v>2.3209000000000001E-4</v>
      </c>
      <c r="J109" s="90">
        <v>998743</v>
      </c>
      <c r="K109" s="98">
        <v>232</v>
      </c>
      <c r="L109" s="90">
        <v>998627</v>
      </c>
      <c r="M109" s="96">
        <v>86940600</v>
      </c>
      <c r="N109" s="95">
        <v>87.05</v>
      </c>
    </row>
    <row r="110" spans="1:14" ht="22.5" customHeight="1">
      <c r="A110" s="108"/>
      <c r="B110" s="93" t="s">
        <v>315</v>
      </c>
      <c r="C110" s="91">
        <v>1.6593000000000001E-4</v>
      </c>
      <c r="D110" s="90">
        <v>998382</v>
      </c>
      <c r="E110" s="98">
        <v>166</v>
      </c>
      <c r="F110" s="90">
        <v>998299</v>
      </c>
      <c r="G110" s="96">
        <v>81242838</v>
      </c>
      <c r="H110" s="95">
        <v>81.37</v>
      </c>
      <c r="I110" s="91">
        <v>1.8715E-4</v>
      </c>
      <c r="J110" s="90">
        <v>998511</v>
      </c>
      <c r="K110" s="98">
        <v>187</v>
      </c>
      <c r="L110" s="90">
        <v>998418</v>
      </c>
      <c r="M110" s="96">
        <v>85941973</v>
      </c>
      <c r="N110" s="95">
        <v>86.07</v>
      </c>
    </row>
    <row r="111" spans="1:14" ht="22.5" customHeight="1">
      <c r="A111" s="108"/>
      <c r="B111" s="93" t="s">
        <v>314</v>
      </c>
      <c r="C111" s="91">
        <v>1.2966E-4</v>
      </c>
      <c r="D111" s="90">
        <v>998216</v>
      </c>
      <c r="E111" s="98">
        <v>129</v>
      </c>
      <c r="F111" s="90">
        <v>998152</v>
      </c>
      <c r="G111" s="96">
        <v>80244539</v>
      </c>
      <c r="H111" s="95">
        <v>80.39</v>
      </c>
      <c r="I111" s="91">
        <v>1.4959000000000001E-4</v>
      </c>
      <c r="J111" s="90">
        <v>998324</v>
      </c>
      <c r="K111" s="98">
        <v>149</v>
      </c>
      <c r="L111" s="90">
        <v>998250</v>
      </c>
      <c r="M111" s="96">
        <v>84943555</v>
      </c>
      <c r="N111" s="95">
        <v>85.09</v>
      </c>
    </row>
    <row r="112" spans="1:14" ht="22.5" customHeight="1">
      <c r="A112" s="108"/>
      <c r="B112" s="93" t="s">
        <v>313</v>
      </c>
      <c r="C112" s="91">
        <v>1.0187E-4</v>
      </c>
      <c r="D112" s="90">
        <v>998087</v>
      </c>
      <c r="E112" s="98">
        <v>102</v>
      </c>
      <c r="F112" s="90">
        <v>998036</v>
      </c>
      <c r="G112" s="96">
        <v>79246387</v>
      </c>
      <c r="H112" s="95">
        <v>79.400000000000006</v>
      </c>
      <c r="I112" s="91">
        <v>1.1942000000000001E-4</v>
      </c>
      <c r="J112" s="90">
        <v>998175</v>
      </c>
      <c r="K112" s="98">
        <v>119</v>
      </c>
      <c r="L112" s="90">
        <v>998116</v>
      </c>
      <c r="M112" s="96">
        <v>83945305</v>
      </c>
      <c r="N112" s="95">
        <v>84.1</v>
      </c>
    </row>
    <row r="113" spans="1:14" ht="22.5" customHeight="1">
      <c r="A113" s="108"/>
      <c r="B113" s="93" t="s">
        <v>312</v>
      </c>
      <c r="C113" s="91">
        <v>8.2410000000000005E-5</v>
      </c>
      <c r="D113" s="90">
        <v>997985</v>
      </c>
      <c r="E113" s="99">
        <v>82</v>
      </c>
      <c r="F113" s="90">
        <v>997944</v>
      </c>
      <c r="G113" s="96">
        <v>78248351</v>
      </c>
      <c r="H113" s="95">
        <v>78.41</v>
      </c>
      <c r="I113" s="91">
        <v>9.6570000000000005E-5</v>
      </c>
      <c r="J113" s="90">
        <v>998056</v>
      </c>
      <c r="K113" s="99">
        <v>96</v>
      </c>
      <c r="L113" s="90">
        <v>998008</v>
      </c>
      <c r="M113" s="96">
        <v>82947189</v>
      </c>
      <c r="N113" s="95">
        <v>83.11</v>
      </c>
    </row>
    <row r="114" spans="1:14" ht="22.5" customHeight="1">
      <c r="A114" s="108"/>
      <c r="B114" s="93" t="s">
        <v>311</v>
      </c>
      <c r="C114" s="91">
        <v>7.0959999999999998E-5</v>
      </c>
      <c r="D114" s="90">
        <v>997903</v>
      </c>
      <c r="E114" s="99">
        <v>71</v>
      </c>
      <c r="F114" s="90">
        <v>997868</v>
      </c>
      <c r="G114" s="96">
        <v>77250407</v>
      </c>
      <c r="H114" s="95">
        <v>77.41</v>
      </c>
      <c r="I114" s="91">
        <v>8.0859999999999995E-5</v>
      </c>
      <c r="J114" s="90">
        <v>997960</v>
      </c>
      <c r="K114" s="99">
        <v>81</v>
      </c>
      <c r="L114" s="90">
        <v>997920</v>
      </c>
      <c r="M114" s="96">
        <v>81949181</v>
      </c>
      <c r="N114" s="95">
        <v>82.12</v>
      </c>
    </row>
    <row r="115" spans="1:14" ht="22.5" customHeight="1">
      <c r="A115" s="108"/>
      <c r="B115" s="93" t="s">
        <v>310</v>
      </c>
      <c r="C115" s="91">
        <v>6.711E-5</v>
      </c>
      <c r="D115" s="90">
        <v>997832</v>
      </c>
      <c r="E115" s="99">
        <v>67</v>
      </c>
      <c r="F115" s="90">
        <v>997799</v>
      </c>
      <c r="G115" s="96">
        <v>76252539</v>
      </c>
      <c r="H115" s="95">
        <v>76.42</v>
      </c>
      <c r="I115" s="91">
        <v>7.1920000000000003E-5</v>
      </c>
      <c r="J115" s="90">
        <v>997879</v>
      </c>
      <c r="K115" s="99">
        <v>72</v>
      </c>
      <c r="L115" s="90">
        <v>997843</v>
      </c>
      <c r="M115" s="96">
        <v>80951261</v>
      </c>
      <c r="N115" s="95">
        <v>81.12</v>
      </c>
    </row>
    <row r="116" spans="1:14" ht="22.5" customHeight="1">
      <c r="A116" s="108"/>
      <c r="B116" s="93" t="s">
        <v>309</v>
      </c>
      <c r="C116" s="91">
        <v>6.9889999999999997E-5</v>
      </c>
      <c r="D116" s="90">
        <v>997765</v>
      </c>
      <c r="E116" s="99">
        <v>70</v>
      </c>
      <c r="F116" s="90">
        <v>997730</v>
      </c>
      <c r="G116" s="96">
        <v>75254740</v>
      </c>
      <c r="H116" s="95">
        <v>75.42</v>
      </c>
      <c r="I116" s="91">
        <v>6.9159999999999995E-5</v>
      </c>
      <c r="J116" s="90">
        <v>997807</v>
      </c>
      <c r="K116" s="99">
        <v>69</v>
      </c>
      <c r="L116" s="90">
        <v>997773</v>
      </c>
      <c r="M116" s="96">
        <v>79953418</v>
      </c>
      <c r="N116" s="95">
        <v>80.13</v>
      </c>
    </row>
    <row r="117" spans="1:14" ht="22.5" customHeight="1">
      <c r="A117" s="108"/>
      <c r="B117" s="93" t="s">
        <v>308</v>
      </c>
      <c r="C117" s="91">
        <v>7.7929999999999994E-5</v>
      </c>
      <c r="D117" s="90">
        <v>997695</v>
      </c>
      <c r="E117" s="99">
        <v>78</v>
      </c>
      <c r="F117" s="90">
        <v>997656</v>
      </c>
      <c r="G117" s="96">
        <v>74257010</v>
      </c>
      <c r="H117" s="95">
        <v>74.430000000000007</v>
      </c>
      <c r="I117" s="91">
        <v>7.1649999999999993E-5</v>
      </c>
      <c r="J117" s="90">
        <v>997738</v>
      </c>
      <c r="K117" s="99">
        <v>71</v>
      </c>
      <c r="L117" s="90">
        <v>997703</v>
      </c>
      <c r="M117" s="96">
        <v>78955645</v>
      </c>
      <c r="N117" s="95">
        <v>79.13</v>
      </c>
    </row>
    <row r="118" spans="1:14" ht="22.5" customHeight="1">
      <c r="A118" s="108"/>
      <c r="B118" s="93" t="s">
        <v>307</v>
      </c>
      <c r="C118" s="91">
        <v>8.9809999999999996E-5</v>
      </c>
      <c r="D118" s="90">
        <v>997617</v>
      </c>
      <c r="E118" s="99">
        <v>90</v>
      </c>
      <c r="F118" s="90">
        <v>997572</v>
      </c>
      <c r="G118" s="96">
        <v>73259354</v>
      </c>
      <c r="H118" s="95">
        <v>73.430000000000007</v>
      </c>
      <c r="I118" s="91">
        <v>7.8319999999999996E-5</v>
      </c>
      <c r="J118" s="90">
        <v>997667</v>
      </c>
      <c r="K118" s="99">
        <v>78</v>
      </c>
      <c r="L118" s="90">
        <v>997628</v>
      </c>
      <c r="M118" s="96">
        <v>77957942</v>
      </c>
      <c r="N118" s="95">
        <v>78.14</v>
      </c>
    </row>
    <row r="119" spans="1:14" ht="22.5" customHeight="1">
      <c r="A119" s="108"/>
      <c r="B119" s="93" t="s">
        <v>306</v>
      </c>
      <c r="C119" s="91">
        <v>1.0398E-4</v>
      </c>
      <c r="D119" s="90">
        <v>997527</v>
      </c>
      <c r="E119" s="98">
        <v>104</v>
      </c>
      <c r="F119" s="90">
        <v>997475</v>
      </c>
      <c r="G119" s="96">
        <v>72261782</v>
      </c>
      <c r="H119" s="95">
        <v>72.44</v>
      </c>
      <c r="I119" s="91">
        <v>8.7849999999999994E-5</v>
      </c>
      <c r="J119" s="90">
        <v>997589</v>
      </c>
      <c r="K119" s="99">
        <v>88</v>
      </c>
      <c r="L119" s="90">
        <v>997545</v>
      </c>
      <c r="M119" s="96">
        <v>76960314</v>
      </c>
      <c r="N119" s="95">
        <v>77.150000000000006</v>
      </c>
    </row>
    <row r="120" spans="1:14" ht="22.5" customHeight="1">
      <c r="A120" s="108"/>
      <c r="B120" s="93" t="s">
        <v>305</v>
      </c>
      <c r="C120" s="91">
        <v>1.1898E-4</v>
      </c>
      <c r="D120" s="90">
        <v>997423</v>
      </c>
      <c r="E120" s="98">
        <v>119</v>
      </c>
      <c r="F120" s="90">
        <v>997364</v>
      </c>
      <c r="G120" s="96">
        <v>71264307</v>
      </c>
      <c r="H120" s="95">
        <v>71.45</v>
      </c>
      <c r="I120" s="91">
        <v>9.8770000000000005E-5</v>
      </c>
      <c r="J120" s="90">
        <v>997501</v>
      </c>
      <c r="K120" s="99">
        <v>99</v>
      </c>
      <c r="L120" s="90">
        <v>997452</v>
      </c>
      <c r="M120" s="96">
        <v>75962769</v>
      </c>
      <c r="N120" s="95">
        <v>76.150000000000006</v>
      </c>
    </row>
    <row r="121" spans="1:14" ht="22.5" customHeight="1">
      <c r="A121" s="108"/>
      <c r="B121" s="93" t="s">
        <v>304</v>
      </c>
      <c r="C121" s="91">
        <v>1.3402999999999999E-4</v>
      </c>
      <c r="D121" s="90">
        <v>997304</v>
      </c>
      <c r="E121" s="98">
        <v>134</v>
      </c>
      <c r="F121" s="90">
        <v>997237</v>
      </c>
      <c r="G121" s="96">
        <v>70266943</v>
      </c>
      <c r="H121" s="95">
        <v>70.459999999999994</v>
      </c>
      <c r="I121" s="91">
        <v>1.0971E-4</v>
      </c>
      <c r="J121" s="90">
        <v>997402</v>
      </c>
      <c r="K121" s="98">
        <v>109</v>
      </c>
      <c r="L121" s="90">
        <v>997348</v>
      </c>
      <c r="M121" s="96">
        <v>74965317</v>
      </c>
      <c r="N121" s="95">
        <v>75.16</v>
      </c>
    </row>
    <row r="122" spans="1:14" ht="22.5" customHeight="1">
      <c r="A122" s="108"/>
      <c r="B122" s="93" t="s">
        <v>303</v>
      </c>
      <c r="C122" s="91">
        <v>1.4899999999999999E-4</v>
      </c>
      <c r="D122" s="90">
        <v>997170</v>
      </c>
      <c r="E122" s="98">
        <v>149</v>
      </c>
      <c r="F122" s="90">
        <v>997096</v>
      </c>
      <c r="G122" s="96">
        <v>69269706</v>
      </c>
      <c r="H122" s="95">
        <v>69.47</v>
      </c>
      <c r="I122" s="91">
        <v>1.1961E-4</v>
      </c>
      <c r="J122" s="90">
        <v>997293</v>
      </c>
      <c r="K122" s="98">
        <v>119</v>
      </c>
      <c r="L122" s="90">
        <v>997234</v>
      </c>
      <c r="M122" s="96">
        <v>73967969</v>
      </c>
      <c r="N122" s="95">
        <v>74.17</v>
      </c>
    </row>
    <row r="123" spans="1:14" ht="22.5" customHeight="1">
      <c r="A123" s="108"/>
      <c r="B123" s="93" t="s">
        <v>302</v>
      </c>
      <c r="C123" s="91">
        <v>1.6618000000000001E-4</v>
      </c>
      <c r="D123" s="90">
        <v>997021</v>
      </c>
      <c r="E123" s="98">
        <v>166</v>
      </c>
      <c r="F123" s="90">
        <v>996938</v>
      </c>
      <c r="G123" s="96">
        <v>68272610</v>
      </c>
      <c r="H123" s="95">
        <v>68.48</v>
      </c>
      <c r="I123" s="91">
        <v>1.2684E-4</v>
      </c>
      <c r="J123" s="90">
        <v>997174</v>
      </c>
      <c r="K123" s="98">
        <v>126</v>
      </c>
      <c r="L123" s="90">
        <v>997111</v>
      </c>
      <c r="M123" s="96">
        <v>72970735</v>
      </c>
      <c r="N123" s="95">
        <v>73.180000000000007</v>
      </c>
    </row>
    <row r="124" spans="1:14" ht="22.5" customHeight="1">
      <c r="A124" s="108"/>
      <c r="B124" s="93" t="s">
        <v>301</v>
      </c>
      <c r="C124" s="91">
        <v>1.8725999999999999E-4</v>
      </c>
      <c r="D124" s="90">
        <v>996855</v>
      </c>
      <c r="E124" s="98">
        <v>187</v>
      </c>
      <c r="F124" s="90">
        <v>996762</v>
      </c>
      <c r="G124" s="96">
        <v>67275672</v>
      </c>
      <c r="H124" s="95">
        <v>67.489999999999995</v>
      </c>
      <c r="I124" s="91">
        <v>1.3106000000000001E-4</v>
      </c>
      <c r="J124" s="90">
        <v>997048</v>
      </c>
      <c r="K124" s="98">
        <v>131</v>
      </c>
      <c r="L124" s="90">
        <v>996983</v>
      </c>
      <c r="M124" s="96">
        <v>71973624</v>
      </c>
      <c r="N124" s="95">
        <v>72.19</v>
      </c>
    </row>
    <row r="125" spans="1:14" ht="22.5" customHeight="1">
      <c r="A125" s="108"/>
      <c r="B125" s="93" t="s">
        <v>300</v>
      </c>
      <c r="C125" s="91">
        <v>2.1343999999999999E-4</v>
      </c>
      <c r="D125" s="90">
        <v>996668</v>
      </c>
      <c r="E125" s="98">
        <v>213</v>
      </c>
      <c r="F125" s="90">
        <v>996562</v>
      </c>
      <c r="G125" s="96">
        <v>66278910</v>
      </c>
      <c r="H125" s="95">
        <v>66.5</v>
      </c>
      <c r="I125" s="91">
        <v>1.3318999999999999E-4</v>
      </c>
      <c r="J125" s="90">
        <v>996917</v>
      </c>
      <c r="K125" s="98">
        <v>133</v>
      </c>
      <c r="L125" s="90">
        <v>996851</v>
      </c>
      <c r="M125" s="96">
        <v>70976641</v>
      </c>
      <c r="N125" s="95">
        <v>71.2</v>
      </c>
    </row>
    <row r="126" spans="1:14" ht="22.5" customHeight="1">
      <c r="A126" s="108"/>
      <c r="B126" s="93" t="s">
        <v>299</v>
      </c>
      <c r="C126" s="91">
        <v>2.4398000000000001E-4</v>
      </c>
      <c r="D126" s="90">
        <v>996455</v>
      </c>
      <c r="E126" s="98">
        <v>243</v>
      </c>
      <c r="F126" s="90">
        <v>996334</v>
      </c>
      <c r="G126" s="96">
        <v>65282348</v>
      </c>
      <c r="H126" s="95">
        <v>65.510000000000005</v>
      </c>
      <c r="I126" s="91">
        <v>1.3355999999999999E-4</v>
      </c>
      <c r="J126" s="90">
        <v>996784</v>
      </c>
      <c r="K126" s="98">
        <v>133</v>
      </c>
      <c r="L126" s="90">
        <v>996718</v>
      </c>
      <c r="M126" s="96">
        <v>69979790</v>
      </c>
      <c r="N126" s="95">
        <v>70.209999999999994</v>
      </c>
    </row>
    <row r="127" spans="1:14" ht="22.5" customHeight="1">
      <c r="A127" s="108"/>
      <c r="B127" s="93" t="s">
        <v>298</v>
      </c>
      <c r="C127" s="91">
        <v>2.7721000000000001E-4</v>
      </c>
      <c r="D127" s="90">
        <v>996212</v>
      </c>
      <c r="E127" s="98">
        <v>276</v>
      </c>
      <c r="F127" s="90">
        <v>996074</v>
      </c>
      <c r="G127" s="96">
        <v>64286014</v>
      </c>
      <c r="H127" s="95">
        <v>64.53</v>
      </c>
      <c r="I127" s="91">
        <v>1.3296E-4</v>
      </c>
      <c r="J127" s="90">
        <v>996651</v>
      </c>
      <c r="K127" s="98">
        <v>133</v>
      </c>
      <c r="L127" s="90">
        <v>996585</v>
      </c>
      <c r="M127" s="96">
        <v>68983072</v>
      </c>
      <c r="N127" s="95">
        <v>69.209999999999994</v>
      </c>
    </row>
    <row r="128" spans="1:14" ht="22.5" customHeight="1">
      <c r="A128" s="108"/>
      <c r="B128" s="93" t="s">
        <v>297</v>
      </c>
      <c r="C128" s="91">
        <v>3.0860000000000002E-4</v>
      </c>
      <c r="D128" s="90">
        <v>995936</v>
      </c>
      <c r="E128" s="98">
        <v>307</v>
      </c>
      <c r="F128" s="90">
        <v>995783</v>
      </c>
      <c r="G128" s="96">
        <v>63289940</v>
      </c>
      <c r="H128" s="95">
        <v>63.55</v>
      </c>
      <c r="I128" s="91">
        <v>1.3344999999999999E-4</v>
      </c>
      <c r="J128" s="90">
        <v>996518</v>
      </c>
      <c r="K128" s="98">
        <v>133</v>
      </c>
      <c r="L128" s="90">
        <v>996452</v>
      </c>
      <c r="M128" s="96">
        <v>67986487</v>
      </c>
      <c r="N128" s="95">
        <v>68.22</v>
      </c>
    </row>
    <row r="129" spans="1:14" ht="22.5" customHeight="1">
      <c r="A129" s="108"/>
      <c r="B129" s="93" t="s">
        <v>296</v>
      </c>
      <c r="C129" s="91">
        <v>3.3471E-4</v>
      </c>
      <c r="D129" s="90">
        <v>995629</v>
      </c>
      <c r="E129" s="98">
        <v>333</v>
      </c>
      <c r="F129" s="90">
        <v>995463</v>
      </c>
      <c r="G129" s="96">
        <v>62294157</v>
      </c>
      <c r="H129" s="95">
        <v>62.57</v>
      </c>
      <c r="I129" s="91">
        <v>1.3663999999999999E-4</v>
      </c>
      <c r="J129" s="90">
        <v>996385</v>
      </c>
      <c r="K129" s="98">
        <v>136</v>
      </c>
      <c r="L129" s="90">
        <v>996317</v>
      </c>
      <c r="M129" s="96">
        <v>66990035</v>
      </c>
      <c r="N129" s="95">
        <v>67.23</v>
      </c>
    </row>
    <row r="130" spans="1:14" ht="22.5" customHeight="1">
      <c r="A130" s="108"/>
      <c r="B130" s="93" t="s">
        <v>295</v>
      </c>
      <c r="C130" s="91">
        <v>3.5325999999999999E-4</v>
      </c>
      <c r="D130" s="90">
        <v>995296</v>
      </c>
      <c r="E130" s="98">
        <v>352</v>
      </c>
      <c r="F130" s="90">
        <v>995120</v>
      </c>
      <c r="G130" s="96">
        <v>61298694</v>
      </c>
      <c r="H130" s="95">
        <v>61.59</v>
      </c>
      <c r="I130" s="91">
        <v>1.4358E-4</v>
      </c>
      <c r="J130" s="90">
        <v>996249</v>
      </c>
      <c r="K130" s="98">
        <v>143</v>
      </c>
      <c r="L130" s="90">
        <v>996178</v>
      </c>
      <c r="M130" s="96">
        <v>65993718</v>
      </c>
      <c r="N130" s="95">
        <v>66.239999999999995</v>
      </c>
    </row>
    <row r="131" spans="1:14" ht="22.5" customHeight="1">
      <c r="A131" s="108"/>
      <c r="B131" s="93" t="s">
        <v>294</v>
      </c>
      <c r="C131" s="91">
        <v>3.6381E-4</v>
      </c>
      <c r="D131" s="90">
        <v>994944</v>
      </c>
      <c r="E131" s="98">
        <v>362</v>
      </c>
      <c r="F131" s="90">
        <v>994763</v>
      </c>
      <c r="G131" s="96">
        <v>60303574</v>
      </c>
      <c r="H131" s="95">
        <v>60.61</v>
      </c>
      <c r="I131" s="91">
        <v>1.5448E-4</v>
      </c>
      <c r="J131" s="90">
        <v>996106</v>
      </c>
      <c r="K131" s="98">
        <v>154</v>
      </c>
      <c r="L131" s="90">
        <v>996029</v>
      </c>
      <c r="M131" s="96">
        <v>64997540</v>
      </c>
      <c r="N131" s="95">
        <v>65.25</v>
      </c>
    </row>
    <row r="132" spans="1:14" ht="22.5" customHeight="1">
      <c r="A132" s="108"/>
      <c r="B132" s="93" t="s">
        <v>293</v>
      </c>
      <c r="C132" s="91">
        <v>3.6748999999999999E-4</v>
      </c>
      <c r="D132" s="90">
        <v>994582</v>
      </c>
      <c r="E132" s="98">
        <v>365</v>
      </c>
      <c r="F132" s="90">
        <v>994400</v>
      </c>
      <c r="G132" s="96">
        <v>59308811</v>
      </c>
      <c r="H132" s="95">
        <v>59.63</v>
      </c>
      <c r="I132" s="91">
        <v>1.6881E-4</v>
      </c>
      <c r="J132" s="90">
        <v>995952</v>
      </c>
      <c r="K132" s="98">
        <v>168</v>
      </c>
      <c r="L132" s="90">
        <v>995868</v>
      </c>
      <c r="M132" s="96">
        <v>64001511</v>
      </c>
      <c r="N132" s="95">
        <v>64.260000000000005</v>
      </c>
    </row>
    <row r="133" spans="1:14" ht="22.5" customHeight="1">
      <c r="A133" s="108"/>
      <c r="B133" s="93" t="s">
        <v>292</v>
      </c>
      <c r="C133" s="91">
        <v>3.6717E-4</v>
      </c>
      <c r="D133" s="90">
        <v>994217</v>
      </c>
      <c r="E133" s="98">
        <v>365</v>
      </c>
      <c r="F133" s="90">
        <v>994035</v>
      </c>
      <c r="G133" s="96">
        <v>58314411</v>
      </c>
      <c r="H133" s="95">
        <v>58.65</v>
      </c>
      <c r="I133" s="91">
        <v>1.8495999999999999E-4</v>
      </c>
      <c r="J133" s="90">
        <v>995784</v>
      </c>
      <c r="K133" s="98">
        <v>184</v>
      </c>
      <c r="L133" s="90">
        <v>995692</v>
      </c>
      <c r="M133" s="96">
        <v>63005643</v>
      </c>
      <c r="N133" s="95">
        <v>63.27</v>
      </c>
    </row>
    <row r="134" spans="1:14" ht="22.5" customHeight="1">
      <c r="A134" s="108"/>
      <c r="B134" s="93" t="s">
        <v>291</v>
      </c>
      <c r="C134" s="91">
        <v>3.6664999999999999E-4</v>
      </c>
      <c r="D134" s="90">
        <v>993852</v>
      </c>
      <c r="E134" s="98">
        <v>364</v>
      </c>
      <c r="F134" s="90">
        <v>993670</v>
      </c>
      <c r="G134" s="96">
        <v>57320376</v>
      </c>
      <c r="H134" s="95">
        <v>57.67</v>
      </c>
      <c r="I134" s="91">
        <v>2.0107999999999999E-4</v>
      </c>
      <c r="J134" s="90">
        <v>995600</v>
      </c>
      <c r="K134" s="98">
        <v>200</v>
      </c>
      <c r="L134" s="90">
        <v>995500</v>
      </c>
      <c r="M134" s="96">
        <v>62009951</v>
      </c>
      <c r="N134" s="95">
        <v>62.28</v>
      </c>
    </row>
    <row r="135" spans="1:14" ht="22.5" customHeight="1">
      <c r="A135" s="108"/>
      <c r="B135" s="93" t="s">
        <v>290</v>
      </c>
      <c r="C135" s="91">
        <v>3.7062999999999999E-4</v>
      </c>
      <c r="D135" s="90">
        <v>993488</v>
      </c>
      <c r="E135" s="98">
        <v>368</v>
      </c>
      <c r="F135" s="90">
        <v>993304</v>
      </c>
      <c r="G135" s="96">
        <v>56326706</v>
      </c>
      <c r="H135" s="95">
        <v>56.7</v>
      </c>
      <c r="I135" s="91">
        <v>2.1511999999999999E-4</v>
      </c>
      <c r="J135" s="90">
        <v>995400</v>
      </c>
      <c r="K135" s="98">
        <v>214</v>
      </c>
      <c r="L135" s="90">
        <v>995293</v>
      </c>
      <c r="M135" s="96">
        <v>61014451</v>
      </c>
      <c r="N135" s="95">
        <v>61.3</v>
      </c>
    </row>
    <row r="136" spans="1:14" ht="22.5" customHeight="1">
      <c r="A136" s="108"/>
      <c r="B136" s="93" t="s">
        <v>289</v>
      </c>
      <c r="C136" s="91">
        <v>3.8123999999999998E-4</v>
      </c>
      <c r="D136" s="90">
        <v>993120</v>
      </c>
      <c r="E136" s="98">
        <v>379</v>
      </c>
      <c r="F136" s="90">
        <v>992931</v>
      </c>
      <c r="G136" s="96">
        <v>55333402</v>
      </c>
      <c r="H136" s="95">
        <v>55.72</v>
      </c>
      <c r="I136" s="91">
        <v>2.2633000000000001E-4</v>
      </c>
      <c r="J136" s="90">
        <v>995186</v>
      </c>
      <c r="K136" s="98">
        <v>225</v>
      </c>
      <c r="L136" s="90">
        <v>995074</v>
      </c>
      <c r="M136" s="96">
        <v>60019158</v>
      </c>
      <c r="N136" s="95">
        <v>60.31</v>
      </c>
    </row>
    <row r="137" spans="1:14" ht="22.5" customHeight="1">
      <c r="A137" s="108"/>
      <c r="B137" s="93" t="s">
        <v>288</v>
      </c>
      <c r="C137" s="91">
        <v>3.9957000000000002E-4</v>
      </c>
      <c r="D137" s="90">
        <v>992741</v>
      </c>
      <c r="E137" s="98">
        <v>397</v>
      </c>
      <c r="F137" s="90">
        <v>992543</v>
      </c>
      <c r="G137" s="96">
        <v>54340471</v>
      </c>
      <c r="H137" s="95">
        <v>54.74</v>
      </c>
      <c r="I137" s="91">
        <v>2.3453999999999999E-4</v>
      </c>
      <c r="J137" s="90">
        <v>994961</v>
      </c>
      <c r="K137" s="98">
        <v>233</v>
      </c>
      <c r="L137" s="90">
        <v>994845</v>
      </c>
      <c r="M137" s="96">
        <v>59024084</v>
      </c>
      <c r="N137" s="95">
        <v>59.32</v>
      </c>
    </row>
    <row r="138" spans="1:14" ht="22.5" customHeight="1">
      <c r="A138" s="108"/>
      <c r="B138" s="93" t="s">
        <v>287</v>
      </c>
      <c r="C138" s="91">
        <v>4.2492000000000002E-4</v>
      </c>
      <c r="D138" s="90">
        <v>992344</v>
      </c>
      <c r="E138" s="98">
        <v>422</v>
      </c>
      <c r="F138" s="90">
        <v>992133</v>
      </c>
      <c r="G138" s="96">
        <v>53347928</v>
      </c>
      <c r="H138" s="95">
        <v>53.76</v>
      </c>
      <c r="I138" s="91">
        <v>2.3845E-4</v>
      </c>
      <c r="J138" s="90">
        <v>994728</v>
      </c>
      <c r="K138" s="98">
        <v>237</v>
      </c>
      <c r="L138" s="90">
        <v>994610</v>
      </c>
      <c r="M138" s="96">
        <v>58029239</v>
      </c>
      <c r="N138" s="95">
        <v>58.34</v>
      </c>
    </row>
    <row r="139" spans="1:14" ht="22.5" customHeight="1">
      <c r="A139" s="108"/>
      <c r="B139" s="93" t="s">
        <v>286</v>
      </c>
      <c r="C139" s="91">
        <v>4.5561000000000001E-4</v>
      </c>
      <c r="D139" s="90">
        <v>991922</v>
      </c>
      <c r="E139" s="98">
        <v>452</v>
      </c>
      <c r="F139" s="90">
        <v>991696</v>
      </c>
      <c r="G139" s="96">
        <v>52355795</v>
      </c>
      <c r="H139" s="95">
        <v>52.78</v>
      </c>
      <c r="I139" s="91">
        <v>2.3860999999999999E-4</v>
      </c>
      <c r="J139" s="90">
        <v>994491</v>
      </c>
      <c r="K139" s="98">
        <v>237</v>
      </c>
      <c r="L139" s="90">
        <v>994373</v>
      </c>
      <c r="M139" s="96">
        <v>57034629</v>
      </c>
      <c r="N139" s="95">
        <v>57.35</v>
      </c>
    </row>
    <row r="140" spans="1:14" ht="22.5" customHeight="1">
      <c r="A140" s="108"/>
      <c r="B140" s="93" t="s">
        <v>285</v>
      </c>
      <c r="C140" s="91">
        <v>4.8901999999999995E-4</v>
      </c>
      <c r="D140" s="90">
        <v>991470</v>
      </c>
      <c r="E140" s="98">
        <v>485</v>
      </c>
      <c r="F140" s="90">
        <v>991228</v>
      </c>
      <c r="G140" s="96">
        <v>51364099</v>
      </c>
      <c r="H140" s="95">
        <v>51.81</v>
      </c>
      <c r="I140" s="91">
        <v>2.3744E-4</v>
      </c>
      <c r="J140" s="90">
        <v>994254</v>
      </c>
      <c r="K140" s="98">
        <v>236</v>
      </c>
      <c r="L140" s="90">
        <v>994136</v>
      </c>
      <c r="M140" s="96">
        <v>56040256</v>
      </c>
      <c r="N140" s="95">
        <v>56.36</v>
      </c>
    </row>
    <row r="141" spans="1:14" ht="22.5" customHeight="1">
      <c r="A141" s="108"/>
      <c r="B141" s="93" t="s">
        <v>284</v>
      </c>
      <c r="C141" s="91">
        <v>5.2515999999999999E-4</v>
      </c>
      <c r="D141" s="90">
        <v>990985</v>
      </c>
      <c r="E141" s="98">
        <v>520</v>
      </c>
      <c r="F141" s="90">
        <v>990725</v>
      </c>
      <c r="G141" s="96">
        <v>50372871</v>
      </c>
      <c r="H141" s="95">
        <v>50.83</v>
      </c>
      <c r="I141" s="91">
        <v>2.3682E-4</v>
      </c>
      <c r="J141" s="90">
        <v>994018</v>
      </c>
      <c r="K141" s="98">
        <v>235</v>
      </c>
      <c r="L141" s="90">
        <v>993901</v>
      </c>
      <c r="M141" s="96">
        <v>55046120</v>
      </c>
      <c r="N141" s="95">
        <v>55.38</v>
      </c>
    </row>
    <row r="142" spans="1:14" ht="22.5" customHeight="1">
      <c r="A142" s="108"/>
      <c r="B142" s="93" t="s">
        <v>283</v>
      </c>
      <c r="C142" s="91">
        <v>5.6455999999999998E-4</v>
      </c>
      <c r="D142" s="90">
        <v>990465</v>
      </c>
      <c r="E142" s="98">
        <v>559</v>
      </c>
      <c r="F142" s="90">
        <v>990186</v>
      </c>
      <c r="G142" s="96">
        <v>49382146</v>
      </c>
      <c r="H142" s="95">
        <v>49.86</v>
      </c>
      <c r="I142" s="91">
        <v>2.3907999999999999E-4</v>
      </c>
      <c r="J142" s="90">
        <v>993783</v>
      </c>
      <c r="K142" s="98">
        <v>238</v>
      </c>
      <c r="L142" s="90">
        <v>993664</v>
      </c>
      <c r="M142" s="96">
        <v>54052219</v>
      </c>
      <c r="N142" s="95">
        <v>54.39</v>
      </c>
    </row>
    <row r="143" spans="1:14" ht="22.5" customHeight="1">
      <c r="A143" s="108"/>
      <c r="B143" s="93" t="s">
        <v>282</v>
      </c>
      <c r="C143" s="91">
        <v>6.0623000000000003E-4</v>
      </c>
      <c r="D143" s="90">
        <v>989906</v>
      </c>
      <c r="E143" s="98">
        <v>600</v>
      </c>
      <c r="F143" s="90">
        <v>989606</v>
      </c>
      <c r="G143" s="96">
        <v>48391960</v>
      </c>
      <c r="H143" s="95">
        <v>48.89</v>
      </c>
      <c r="I143" s="91">
        <v>2.4718E-4</v>
      </c>
      <c r="J143" s="90">
        <v>993545</v>
      </c>
      <c r="K143" s="98">
        <v>246</v>
      </c>
      <c r="L143" s="90">
        <v>993422</v>
      </c>
      <c r="M143" s="96">
        <v>53058555</v>
      </c>
      <c r="N143" s="95">
        <v>53.4</v>
      </c>
    </row>
    <row r="144" spans="1:14" ht="22.5" customHeight="1">
      <c r="A144" s="108"/>
      <c r="B144" s="93" t="s">
        <v>281</v>
      </c>
      <c r="C144" s="91">
        <v>6.5087000000000001E-4</v>
      </c>
      <c r="D144" s="90">
        <v>989306</v>
      </c>
      <c r="E144" s="98">
        <v>644</v>
      </c>
      <c r="F144" s="90">
        <v>988984</v>
      </c>
      <c r="G144" s="96">
        <v>47402354</v>
      </c>
      <c r="H144" s="95">
        <v>47.91</v>
      </c>
      <c r="I144" s="91">
        <v>2.6339000000000001E-4</v>
      </c>
      <c r="J144" s="90">
        <v>993299</v>
      </c>
      <c r="K144" s="98">
        <v>262</v>
      </c>
      <c r="L144" s="90">
        <v>993168</v>
      </c>
      <c r="M144" s="96">
        <v>52065133</v>
      </c>
      <c r="N144" s="95">
        <v>52.42</v>
      </c>
    </row>
    <row r="145" spans="1:14" ht="22.5" customHeight="1">
      <c r="A145" s="108"/>
      <c r="B145" s="93" t="s">
        <v>280</v>
      </c>
      <c r="C145" s="91">
        <v>7.0087999999999997E-4</v>
      </c>
      <c r="D145" s="90">
        <v>988662</v>
      </c>
      <c r="E145" s="98">
        <v>693</v>
      </c>
      <c r="F145" s="90">
        <v>988316</v>
      </c>
      <c r="G145" s="96">
        <v>46413370</v>
      </c>
      <c r="H145" s="95">
        <v>46.95</v>
      </c>
      <c r="I145" s="91">
        <v>2.8928E-4</v>
      </c>
      <c r="J145" s="90">
        <v>993037</v>
      </c>
      <c r="K145" s="98">
        <v>287</v>
      </c>
      <c r="L145" s="90">
        <v>992894</v>
      </c>
      <c r="M145" s="96">
        <v>51071965</v>
      </c>
      <c r="N145" s="95">
        <v>51.43</v>
      </c>
    </row>
    <row r="146" spans="1:14" ht="22.5" customHeight="1">
      <c r="A146" s="108"/>
      <c r="B146" s="93" t="s">
        <v>279</v>
      </c>
      <c r="C146" s="91">
        <v>7.5865999999999998E-4</v>
      </c>
      <c r="D146" s="90">
        <v>987969</v>
      </c>
      <c r="E146" s="98">
        <v>750</v>
      </c>
      <c r="F146" s="90">
        <v>987594</v>
      </c>
      <c r="G146" s="96">
        <v>45425054</v>
      </c>
      <c r="H146" s="95">
        <v>45.98</v>
      </c>
      <c r="I146" s="91">
        <v>3.2642000000000001E-4</v>
      </c>
      <c r="J146" s="90">
        <v>992750</v>
      </c>
      <c r="K146" s="98">
        <v>324</v>
      </c>
      <c r="L146" s="90">
        <v>992588</v>
      </c>
      <c r="M146" s="96">
        <v>50079071</v>
      </c>
      <c r="N146" s="95">
        <v>50.44</v>
      </c>
    </row>
    <row r="147" spans="1:14" ht="22.5" customHeight="1">
      <c r="A147" s="108"/>
      <c r="B147" s="93" t="s">
        <v>278</v>
      </c>
      <c r="C147" s="91">
        <v>8.2704000000000002E-4</v>
      </c>
      <c r="D147" s="90">
        <v>987219</v>
      </c>
      <c r="E147" s="98">
        <v>816</v>
      </c>
      <c r="F147" s="90">
        <v>986811</v>
      </c>
      <c r="G147" s="96">
        <v>44437460</v>
      </c>
      <c r="H147" s="95">
        <v>45.01</v>
      </c>
      <c r="I147" s="91">
        <v>3.7552000000000001E-4</v>
      </c>
      <c r="J147" s="90">
        <v>992426</v>
      </c>
      <c r="K147" s="98">
        <v>373</v>
      </c>
      <c r="L147" s="90">
        <v>992240</v>
      </c>
      <c r="M147" s="96">
        <v>49086483</v>
      </c>
      <c r="N147" s="95">
        <v>49.46</v>
      </c>
    </row>
    <row r="148" spans="1:14" ht="22.5" customHeight="1">
      <c r="A148" s="108"/>
      <c r="B148" s="93" t="s">
        <v>277</v>
      </c>
      <c r="C148" s="91">
        <v>9.1104000000000001E-4</v>
      </c>
      <c r="D148" s="90">
        <v>986403</v>
      </c>
      <c r="E148" s="98">
        <v>899</v>
      </c>
      <c r="F148" s="90">
        <v>985954</v>
      </c>
      <c r="G148" s="96">
        <v>43450649</v>
      </c>
      <c r="H148" s="95">
        <v>44.05</v>
      </c>
      <c r="I148" s="91">
        <v>4.3761000000000001E-4</v>
      </c>
      <c r="J148" s="90">
        <v>992053</v>
      </c>
      <c r="K148" s="98">
        <v>434</v>
      </c>
      <c r="L148" s="90">
        <v>991836</v>
      </c>
      <c r="M148" s="96">
        <v>48094243</v>
      </c>
      <c r="N148" s="95">
        <v>48.48</v>
      </c>
    </row>
    <row r="149" spans="1:14" ht="22.5" customHeight="1">
      <c r="A149" s="108"/>
      <c r="B149" s="93" t="s">
        <v>276</v>
      </c>
      <c r="C149" s="91">
        <v>1.01366E-3</v>
      </c>
      <c r="D149" s="90">
        <v>985504</v>
      </c>
      <c r="E149" s="98">
        <v>999</v>
      </c>
      <c r="F149" s="90">
        <v>985005</v>
      </c>
      <c r="G149" s="96">
        <v>42464695</v>
      </c>
      <c r="H149" s="95">
        <v>43.09</v>
      </c>
      <c r="I149" s="91">
        <v>5.1186000000000005E-4</v>
      </c>
      <c r="J149" s="90">
        <v>991619</v>
      </c>
      <c r="K149" s="98">
        <v>508</v>
      </c>
      <c r="L149" s="90">
        <v>991365</v>
      </c>
      <c r="M149" s="96">
        <v>47102407</v>
      </c>
      <c r="N149" s="95">
        <v>47.5</v>
      </c>
    </row>
    <row r="150" spans="1:14" ht="22.5" customHeight="1">
      <c r="A150" s="108"/>
      <c r="B150" s="93" t="s">
        <v>275</v>
      </c>
      <c r="C150" s="91">
        <v>1.1359499999999999E-3</v>
      </c>
      <c r="D150" s="90">
        <v>984505</v>
      </c>
      <c r="E150" s="97">
        <v>1118</v>
      </c>
      <c r="F150" s="90">
        <v>983946</v>
      </c>
      <c r="G150" s="96">
        <v>41479690</v>
      </c>
      <c r="H150" s="95">
        <v>42.13</v>
      </c>
      <c r="I150" s="91">
        <v>5.9557000000000002E-4</v>
      </c>
      <c r="J150" s="90">
        <v>991111</v>
      </c>
      <c r="K150" s="98">
        <v>590</v>
      </c>
      <c r="L150" s="90">
        <v>990816</v>
      </c>
      <c r="M150" s="96">
        <v>46111042</v>
      </c>
      <c r="N150" s="95">
        <v>46.52</v>
      </c>
    </row>
    <row r="151" spans="1:14" ht="22.5" customHeight="1">
      <c r="A151" s="108"/>
      <c r="B151" s="93" t="s">
        <v>274</v>
      </c>
      <c r="C151" s="91">
        <v>1.27852E-3</v>
      </c>
      <c r="D151" s="90">
        <v>983387</v>
      </c>
      <c r="E151" s="97">
        <v>1257</v>
      </c>
      <c r="F151" s="90">
        <v>982759</v>
      </c>
      <c r="G151" s="96">
        <v>40495744</v>
      </c>
      <c r="H151" s="95">
        <v>41.18</v>
      </c>
      <c r="I151" s="91">
        <v>6.8740999999999995E-4</v>
      </c>
      <c r="J151" s="90">
        <v>990521</v>
      </c>
      <c r="K151" s="98">
        <v>681</v>
      </c>
      <c r="L151" s="90">
        <v>990181</v>
      </c>
      <c r="M151" s="96">
        <v>45120226</v>
      </c>
      <c r="N151" s="95">
        <v>45.55</v>
      </c>
    </row>
    <row r="152" spans="1:14" ht="22.5" customHeight="1">
      <c r="A152" s="108"/>
      <c r="B152" s="93" t="s">
        <v>273</v>
      </c>
      <c r="C152" s="91">
        <v>1.4404400000000001E-3</v>
      </c>
      <c r="D152" s="90">
        <v>982130</v>
      </c>
      <c r="E152" s="97">
        <v>1415</v>
      </c>
      <c r="F152" s="90">
        <v>981423</v>
      </c>
      <c r="G152" s="96">
        <v>39512985</v>
      </c>
      <c r="H152" s="95">
        <v>40.229999999999997</v>
      </c>
      <c r="I152" s="91">
        <v>7.8582999999999995E-4</v>
      </c>
      <c r="J152" s="90">
        <v>989840</v>
      </c>
      <c r="K152" s="98">
        <v>778</v>
      </c>
      <c r="L152" s="90">
        <v>989451</v>
      </c>
      <c r="M152" s="96">
        <v>44130045</v>
      </c>
      <c r="N152" s="95">
        <v>44.58</v>
      </c>
    </row>
    <row r="153" spans="1:14" ht="22.5" customHeight="1">
      <c r="A153" s="108"/>
      <c r="B153" s="93" t="s">
        <v>272</v>
      </c>
      <c r="C153" s="91">
        <v>1.6161999999999999E-3</v>
      </c>
      <c r="D153" s="90">
        <v>980715</v>
      </c>
      <c r="E153" s="97">
        <v>1585</v>
      </c>
      <c r="F153" s="90">
        <v>979923</v>
      </c>
      <c r="G153" s="96">
        <v>38531562</v>
      </c>
      <c r="H153" s="95">
        <v>39.29</v>
      </c>
      <c r="I153" s="91">
        <v>8.8787999999999996E-4</v>
      </c>
      <c r="J153" s="90">
        <v>989062</v>
      </c>
      <c r="K153" s="98">
        <v>878</v>
      </c>
      <c r="L153" s="90">
        <v>988623</v>
      </c>
      <c r="M153" s="96">
        <v>43140594</v>
      </c>
      <c r="N153" s="95">
        <v>43.62</v>
      </c>
    </row>
    <row r="154" spans="1:14" ht="22.5" customHeight="1">
      <c r="A154" s="108"/>
      <c r="B154" s="93" t="s">
        <v>271</v>
      </c>
      <c r="C154" s="91">
        <v>1.8013E-3</v>
      </c>
      <c r="D154" s="90">
        <v>979130</v>
      </c>
      <c r="E154" s="97">
        <v>1764</v>
      </c>
      <c r="F154" s="90">
        <v>978248</v>
      </c>
      <c r="G154" s="96">
        <v>37551639</v>
      </c>
      <c r="H154" s="95">
        <v>38.35</v>
      </c>
      <c r="I154" s="91">
        <v>9.9185000000000007E-4</v>
      </c>
      <c r="J154" s="90">
        <v>988184</v>
      </c>
      <c r="K154" s="98">
        <v>980</v>
      </c>
      <c r="L154" s="90">
        <v>987694</v>
      </c>
      <c r="M154" s="96">
        <v>42151971</v>
      </c>
      <c r="N154" s="95">
        <v>42.66</v>
      </c>
    </row>
    <row r="155" spans="1:14" ht="22.5" customHeight="1">
      <c r="A155" s="108"/>
      <c r="B155" s="93" t="s">
        <v>270</v>
      </c>
      <c r="C155" s="91">
        <v>1.9922899999999999E-3</v>
      </c>
      <c r="D155" s="90">
        <v>977366</v>
      </c>
      <c r="E155" s="97">
        <v>1947</v>
      </c>
      <c r="F155" s="90">
        <v>976393</v>
      </c>
      <c r="G155" s="96">
        <v>36573391</v>
      </c>
      <c r="H155" s="95">
        <v>37.42</v>
      </c>
      <c r="I155" s="91">
        <v>1.0973000000000001E-3</v>
      </c>
      <c r="J155" s="90">
        <v>987204</v>
      </c>
      <c r="K155" s="97">
        <v>1083</v>
      </c>
      <c r="L155" s="90">
        <v>986663</v>
      </c>
      <c r="M155" s="96">
        <v>41164277</v>
      </c>
      <c r="N155" s="95">
        <v>41.7</v>
      </c>
    </row>
    <row r="156" spans="1:14" ht="22.5" customHeight="1">
      <c r="A156" s="108"/>
      <c r="B156" s="93" t="s">
        <v>269</v>
      </c>
      <c r="C156" s="91">
        <v>2.18944E-3</v>
      </c>
      <c r="D156" s="90">
        <v>975419</v>
      </c>
      <c r="E156" s="97">
        <v>2136</v>
      </c>
      <c r="F156" s="90">
        <v>974351</v>
      </c>
      <c r="G156" s="96">
        <v>35596998</v>
      </c>
      <c r="H156" s="95">
        <v>36.49</v>
      </c>
      <c r="I156" s="91">
        <v>1.2041E-3</v>
      </c>
      <c r="J156" s="90">
        <v>986121</v>
      </c>
      <c r="K156" s="97">
        <v>1187</v>
      </c>
      <c r="L156" s="90">
        <v>985528</v>
      </c>
      <c r="M156" s="96">
        <v>40177614</v>
      </c>
      <c r="N156" s="95">
        <v>40.74</v>
      </c>
    </row>
    <row r="157" spans="1:14" ht="22.5" customHeight="1">
      <c r="A157" s="108"/>
      <c r="B157" s="93" t="s">
        <v>268</v>
      </c>
      <c r="C157" s="91">
        <v>2.3950899999999999E-3</v>
      </c>
      <c r="D157" s="90">
        <v>973283</v>
      </c>
      <c r="E157" s="97">
        <v>2331</v>
      </c>
      <c r="F157" s="90">
        <v>972118</v>
      </c>
      <c r="G157" s="96">
        <v>34622647</v>
      </c>
      <c r="H157" s="95">
        <v>35.57</v>
      </c>
      <c r="I157" s="91">
        <v>1.3130100000000001E-3</v>
      </c>
      <c r="J157" s="90">
        <v>984934</v>
      </c>
      <c r="K157" s="97">
        <v>1293</v>
      </c>
      <c r="L157" s="90">
        <v>984288</v>
      </c>
      <c r="M157" s="96">
        <v>39192086</v>
      </c>
      <c r="N157" s="95">
        <v>39.79</v>
      </c>
    </row>
    <row r="158" spans="1:14" ht="22.5" customHeight="1">
      <c r="A158" s="108"/>
      <c r="B158" s="93" t="s">
        <v>267</v>
      </c>
      <c r="C158" s="91">
        <v>2.6143500000000001E-3</v>
      </c>
      <c r="D158" s="90">
        <v>970952</v>
      </c>
      <c r="E158" s="97">
        <v>2538</v>
      </c>
      <c r="F158" s="90">
        <v>969683</v>
      </c>
      <c r="G158" s="96">
        <v>33650529</v>
      </c>
      <c r="H158" s="95">
        <v>34.659999999999997</v>
      </c>
      <c r="I158" s="91">
        <v>1.4251299999999999E-3</v>
      </c>
      <c r="J158" s="90">
        <v>983641</v>
      </c>
      <c r="K158" s="97">
        <v>1402</v>
      </c>
      <c r="L158" s="90">
        <v>982940</v>
      </c>
      <c r="M158" s="96">
        <v>38207798</v>
      </c>
      <c r="N158" s="95">
        <v>38.840000000000003</v>
      </c>
    </row>
    <row r="159" spans="1:14" ht="22.5" customHeight="1">
      <c r="A159" s="108"/>
      <c r="B159" s="93" t="s">
        <v>266</v>
      </c>
      <c r="C159" s="91">
        <v>2.8528999999999998E-3</v>
      </c>
      <c r="D159" s="90">
        <v>968414</v>
      </c>
      <c r="E159" s="97">
        <v>2763</v>
      </c>
      <c r="F159" s="90">
        <v>967033</v>
      </c>
      <c r="G159" s="96">
        <v>32680846</v>
      </c>
      <c r="H159" s="95">
        <v>33.75</v>
      </c>
      <c r="I159" s="91">
        <v>1.5425199999999999E-3</v>
      </c>
      <c r="J159" s="90">
        <v>982239</v>
      </c>
      <c r="K159" s="97">
        <v>1515</v>
      </c>
      <c r="L159" s="90">
        <v>981482</v>
      </c>
      <c r="M159" s="96">
        <v>37224858</v>
      </c>
      <c r="N159" s="95">
        <v>37.9</v>
      </c>
    </row>
    <row r="160" spans="1:14" ht="22.5" customHeight="1">
      <c r="A160" s="108"/>
      <c r="B160" s="93" t="s">
        <v>265</v>
      </c>
      <c r="C160" s="91">
        <v>3.11707E-3</v>
      </c>
      <c r="D160" s="90">
        <v>965651</v>
      </c>
      <c r="E160" s="97">
        <v>3010</v>
      </c>
      <c r="F160" s="90">
        <v>964146</v>
      </c>
      <c r="G160" s="96">
        <v>31713813</v>
      </c>
      <c r="H160" s="95">
        <v>32.840000000000003</v>
      </c>
      <c r="I160" s="91">
        <v>1.66825E-3</v>
      </c>
      <c r="J160" s="90">
        <v>980724</v>
      </c>
      <c r="K160" s="97">
        <v>1636</v>
      </c>
      <c r="L160" s="90">
        <v>979906</v>
      </c>
      <c r="M160" s="96">
        <v>36243376</v>
      </c>
      <c r="N160" s="95">
        <v>36.96</v>
      </c>
    </row>
    <row r="161" spans="1:14" ht="22.5" customHeight="1">
      <c r="A161" s="108"/>
      <c r="B161" s="93" t="s">
        <v>264</v>
      </c>
      <c r="C161" s="91">
        <v>3.4098800000000001E-3</v>
      </c>
      <c r="D161" s="90">
        <v>962641</v>
      </c>
      <c r="E161" s="97">
        <v>3282</v>
      </c>
      <c r="F161" s="90">
        <v>961000</v>
      </c>
      <c r="G161" s="96">
        <v>30749667</v>
      </c>
      <c r="H161" s="95">
        <v>31.94</v>
      </c>
      <c r="I161" s="91">
        <v>1.80419E-3</v>
      </c>
      <c r="J161" s="90">
        <v>979088</v>
      </c>
      <c r="K161" s="97">
        <v>1766</v>
      </c>
      <c r="L161" s="90">
        <v>978205</v>
      </c>
      <c r="M161" s="96">
        <v>35263470</v>
      </c>
      <c r="N161" s="95">
        <v>36.020000000000003</v>
      </c>
    </row>
    <row r="162" spans="1:14" ht="22.5" customHeight="1">
      <c r="A162" s="108"/>
      <c r="B162" s="93" t="s">
        <v>263</v>
      </c>
      <c r="C162" s="91">
        <v>3.7326E-3</v>
      </c>
      <c r="D162" s="90">
        <v>959359</v>
      </c>
      <c r="E162" s="97">
        <v>3581</v>
      </c>
      <c r="F162" s="90">
        <v>957569</v>
      </c>
      <c r="G162" s="96">
        <v>29788667</v>
      </c>
      <c r="H162" s="95">
        <v>31.05</v>
      </c>
      <c r="I162" s="91">
        <v>1.9518300000000001E-3</v>
      </c>
      <c r="J162" s="90">
        <v>977322</v>
      </c>
      <c r="K162" s="97">
        <v>1908</v>
      </c>
      <c r="L162" s="90">
        <v>976368</v>
      </c>
      <c r="M162" s="96">
        <v>34285265</v>
      </c>
      <c r="N162" s="95">
        <v>35.08</v>
      </c>
    </row>
    <row r="163" spans="1:14" ht="22.5" customHeight="1">
      <c r="A163" s="108"/>
      <c r="B163" s="93" t="s">
        <v>262</v>
      </c>
      <c r="C163" s="91">
        <v>4.0725199999999996E-3</v>
      </c>
      <c r="D163" s="90">
        <v>955778</v>
      </c>
      <c r="E163" s="97">
        <v>3892</v>
      </c>
      <c r="F163" s="90">
        <v>953832</v>
      </c>
      <c r="G163" s="96">
        <v>28831098</v>
      </c>
      <c r="H163" s="95">
        <v>30.17</v>
      </c>
      <c r="I163" s="91">
        <v>2.1098699999999998E-3</v>
      </c>
      <c r="J163" s="90">
        <v>975414</v>
      </c>
      <c r="K163" s="97">
        <v>2058</v>
      </c>
      <c r="L163" s="90">
        <v>974385</v>
      </c>
      <c r="M163" s="96">
        <v>33308897</v>
      </c>
      <c r="N163" s="95">
        <v>34.15</v>
      </c>
    </row>
    <row r="164" spans="1:14" ht="22.5" customHeight="1">
      <c r="A164" s="108"/>
      <c r="B164" s="93" t="s">
        <v>261</v>
      </c>
      <c r="C164" s="91">
        <v>4.4231699999999997E-3</v>
      </c>
      <c r="D164" s="90">
        <v>951886</v>
      </c>
      <c r="E164" s="97">
        <v>4210</v>
      </c>
      <c r="F164" s="90">
        <v>949781</v>
      </c>
      <c r="G164" s="96">
        <v>27877266</v>
      </c>
      <c r="H164" s="95">
        <v>29.29</v>
      </c>
      <c r="I164" s="91">
        <v>2.2777000000000001E-3</v>
      </c>
      <c r="J164" s="90">
        <v>973356</v>
      </c>
      <c r="K164" s="97">
        <v>2217</v>
      </c>
      <c r="L164" s="90">
        <v>972248</v>
      </c>
      <c r="M164" s="96">
        <v>32334512</v>
      </c>
      <c r="N164" s="95">
        <v>33.22</v>
      </c>
    </row>
    <row r="165" spans="1:14" ht="22.5" customHeight="1">
      <c r="A165" s="108"/>
      <c r="B165" s="93" t="s">
        <v>260</v>
      </c>
      <c r="C165" s="91">
        <v>4.7842900000000001E-3</v>
      </c>
      <c r="D165" s="90">
        <v>947676</v>
      </c>
      <c r="E165" s="97">
        <v>4534</v>
      </c>
      <c r="F165" s="90">
        <v>945409</v>
      </c>
      <c r="G165" s="96">
        <v>26927485</v>
      </c>
      <c r="H165" s="95">
        <v>28.41</v>
      </c>
      <c r="I165" s="91">
        <v>2.4554400000000001E-3</v>
      </c>
      <c r="J165" s="90">
        <v>971139</v>
      </c>
      <c r="K165" s="97">
        <v>2385</v>
      </c>
      <c r="L165" s="90">
        <v>969947</v>
      </c>
      <c r="M165" s="96">
        <v>31362264</v>
      </c>
      <c r="N165" s="95">
        <v>32.29</v>
      </c>
    </row>
    <row r="166" spans="1:14" ht="22.5" customHeight="1">
      <c r="A166" s="108"/>
      <c r="B166" s="93" t="s">
        <v>259</v>
      </c>
      <c r="C166" s="91">
        <v>5.1640499999999999E-3</v>
      </c>
      <c r="D166" s="90">
        <v>943142</v>
      </c>
      <c r="E166" s="97">
        <v>4870</v>
      </c>
      <c r="F166" s="90">
        <v>940707</v>
      </c>
      <c r="G166" s="96">
        <v>25982076</v>
      </c>
      <c r="H166" s="95">
        <v>27.55</v>
      </c>
      <c r="I166" s="91">
        <v>2.6453599999999998E-3</v>
      </c>
      <c r="J166" s="90">
        <v>968754</v>
      </c>
      <c r="K166" s="97">
        <v>2563</v>
      </c>
      <c r="L166" s="90">
        <v>967473</v>
      </c>
      <c r="M166" s="96">
        <v>30392317</v>
      </c>
      <c r="N166" s="95">
        <v>31.37</v>
      </c>
    </row>
    <row r="167" spans="1:14" ht="22.5" customHeight="1">
      <c r="A167" s="108"/>
      <c r="B167" s="93" t="s">
        <v>258</v>
      </c>
      <c r="C167" s="91">
        <v>5.5758200000000004E-3</v>
      </c>
      <c r="D167" s="90">
        <v>938272</v>
      </c>
      <c r="E167" s="97">
        <v>5232</v>
      </c>
      <c r="F167" s="90">
        <v>935656</v>
      </c>
      <c r="G167" s="96">
        <v>25041369</v>
      </c>
      <c r="H167" s="95">
        <v>26.69</v>
      </c>
      <c r="I167" s="91">
        <v>2.8505399999999999E-3</v>
      </c>
      <c r="J167" s="90">
        <v>966191</v>
      </c>
      <c r="K167" s="97">
        <v>2754</v>
      </c>
      <c r="L167" s="90">
        <v>964814</v>
      </c>
      <c r="M167" s="96">
        <v>29424844</v>
      </c>
      <c r="N167" s="95">
        <v>30.45</v>
      </c>
    </row>
    <row r="168" spans="1:14" ht="22.5" customHeight="1">
      <c r="A168" s="108"/>
      <c r="B168" s="93" t="s">
        <v>257</v>
      </c>
      <c r="C168" s="91">
        <v>6.03873E-3</v>
      </c>
      <c r="D168" s="90">
        <v>933040</v>
      </c>
      <c r="E168" s="97">
        <v>5634</v>
      </c>
      <c r="F168" s="90">
        <v>930223</v>
      </c>
      <c r="G168" s="96">
        <v>24105713</v>
      </c>
      <c r="H168" s="95">
        <v>25.84</v>
      </c>
      <c r="I168" s="91">
        <v>3.07063E-3</v>
      </c>
      <c r="J168" s="90">
        <v>963437</v>
      </c>
      <c r="K168" s="97">
        <v>2958</v>
      </c>
      <c r="L168" s="90">
        <v>961958</v>
      </c>
      <c r="M168" s="96">
        <v>28460030</v>
      </c>
      <c r="N168" s="95">
        <v>29.54</v>
      </c>
    </row>
    <row r="169" spans="1:14" ht="22.5" customHeight="1">
      <c r="A169" s="108"/>
      <c r="B169" s="93" t="s">
        <v>256</v>
      </c>
      <c r="C169" s="91">
        <v>6.5709499999999999E-3</v>
      </c>
      <c r="D169" s="90">
        <v>927406</v>
      </c>
      <c r="E169" s="97">
        <v>6094</v>
      </c>
      <c r="F169" s="90">
        <v>924359</v>
      </c>
      <c r="G169" s="96">
        <v>23175490</v>
      </c>
      <c r="H169" s="95">
        <v>24.99</v>
      </c>
      <c r="I169" s="91">
        <v>3.3076300000000002E-3</v>
      </c>
      <c r="J169" s="90">
        <v>960479</v>
      </c>
      <c r="K169" s="97">
        <v>3177</v>
      </c>
      <c r="L169" s="90">
        <v>958891</v>
      </c>
      <c r="M169" s="96">
        <v>27498072</v>
      </c>
      <c r="N169" s="95">
        <v>28.63</v>
      </c>
    </row>
    <row r="170" spans="1:14" ht="22.5" customHeight="1">
      <c r="A170" s="108"/>
      <c r="B170" s="93" t="s">
        <v>255</v>
      </c>
      <c r="C170" s="91">
        <v>7.1896299999999998E-3</v>
      </c>
      <c r="D170" s="90">
        <v>921312</v>
      </c>
      <c r="E170" s="97">
        <v>6624</v>
      </c>
      <c r="F170" s="90">
        <v>918000</v>
      </c>
      <c r="G170" s="96">
        <v>22251131</v>
      </c>
      <c r="H170" s="95">
        <v>24.15</v>
      </c>
      <c r="I170" s="91">
        <v>3.5658899999999999E-3</v>
      </c>
      <c r="J170" s="90">
        <v>957302</v>
      </c>
      <c r="K170" s="97">
        <v>3414</v>
      </c>
      <c r="L170" s="90">
        <v>955595</v>
      </c>
      <c r="M170" s="96">
        <v>26539181</v>
      </c>
      <c r="N170" s="95">
        <v>27.72</v>
      </c>
    </row>
    <row r="171" spans="1:14" ht="22.5" customHeight="1">
      <c r="A171" s="108"/>
      <c r="B171" s="93" t="s">
        <v>254</v>
      </c>
      <c r="C171" s="91">
        <v>7.9069199999999996E-3</v>
      </c>
      <c r="D171" s="90">
        <v>914688</v>
      </c>
      <c r="E171" s="97">
        <v>7232</v>
      </c>
      <c r="F171" s="90">
        <v>911072</v>
      </c>
      <c r="G171" s="96">
        <v>21333131</v>
      </c>
      <c r="H171" s="95">
        <v>23.32</v>
      </c>
      <c r="I171" s="91">
        <v>3.85105E-3</v>
      </c>
      <c r="J171" s="90">
        <v>953888</v>
      </c>
      <c r="K171" s="97">
        <v>3673</v>
      </c>
      <c r="L171" s="90">
        <v>952052</v>
      </c>
      <c r="M171" s="96">
        <v>25583586</v>
      </c>
      <c r="N171" s="95">
        <v>26.82</v>
      </c>
    </row>
    <row r="172" spans="1:14" ht="22.5" customHeight="1">
      <c r="A172" s="108"/>
      <c r="B172" s="93" t="s">
        <v>253</v>
      </c>
      <c r="C172" s="91">
        <v>8.7291699999999996E-3</v>
      </c>
      <c r="D172" s="90">
        <v>907456</v>
      </c>
      <c r="E172" s="97">
        <v>7921</v>
      </c>
      <c r="F172" s="90">
        <v>903496</v>
      </c>
      <c r="G172" s="96">
        <v>20422059</v>
      </c>
      <c r="H172" s="95">
        <v>22.5</v>
      </c>
      <c r="I172" s="91">
        <v>4.1692500000000002E-3</v>
      </c>
      <c r="J172" s="90">
        <v>950215</v>
      </c>
      <c r="K172" s="97">
        <v>3962</v>
      </c>
      <c r="L172" s="90">
        <v>948234</v>
      </c>
      <c r="M172" s="96">
        <v>24631534</v>
      </c>
      <c r="N172" s="95">
        <v>25.92</v>
      </c>
    </row>
    <row r="173" spans="1:14" ht="22.5" customHeight="1">
      <c r="A173" s="108"/>
      <c r="B173" s="93" t="s">
        <v>252</v>
      </c>
      <c r="C173" s="91">
        <v>9.6177199999999997E-3</v>
      </c>
      <c r="D173" s="90">
        <v>899535</v>
      </c>
      <c r="E173" s="97">
        <v>8651</v>
      </c>
      <c r="F173" s="90">
        <v>895210</v>
      </c>
      <c r="G173" s="96">
        <v>19518563</v>
      </c>
      <c r="H173" s="95">
        <v>21.7</v>
      </c>
      <c r="I173" s="91">
        <v>4.49922E-3</v>
      </c>
      <c r="J173" s="90">
        <v>946253</v>
      </c>
      <c r="K173" s="97">
        <v>4257</v>
      </c>
      <c r="L173" s="90">
        <v>944125</v>
      </c>
      <c r="M173" s="96">
        <v>23683300</v>
      </c>
      <c r="N173" s="95">
        <v>25.03</v>
      </c>
    </row>
    <row r="174" spans="1:14" ht="22.5" customHeight="1">
      <c r="A174" s="108"/>
      <c r="B174" s="93" t="s">
        <v>251</v>
      </c>
      <c r="C174" s="91">
        <v>1.055296E-2</v>
      </c>
      <c r="D174" s="90">
        <v>890884</v>
      </c>
      <c r="E174" s="97">
        <v>9401</v>
      </c>
      <c r="F174" s="90">
        <v>886184</v>
      </c>
      <c r="G174" s="96">
        <v>18623353</v>
      </c>
      <c r="H174" s="95">
        <v>20.9</v>
      </c>
      <c r="I174" s="91">
        <v>4.83702E-3</v>
      </c>
      <c r="J174" s="90">
        <v>941996</v>
      </c>
      <c r="K174" s="97">
        <v>4556</v>
      </c>
      <c r="L174" s="90">
        <v>939718</v>
      </c>
      <c r="M174" s="96">
        <v>22739175</v>
      </c>
      <c r="N174" s="95">
        <v>24.14</v>
      </c>
    </row>
    <row r="175" spans="1:14" ht="22.5" customHeight="1">
      <c r="A175" s="108"/>
      <c r="B175" s="93" t="s">
        <v>250</v>
      </c>
      <c r="C175" s="91">
        <v>1.153419E-2</v>
      </c>
      <c r="D175" s="90">
        <v>881483</v>
      </c>
      <c r="E175" s="92">
        <v>10167</v>
      </c>
      <c r="F175" s="90">
        <v>876400</v>
      </c>
      <c r="G175" s="96">
        <v>17737169</v>
      </c>
      <c r="H175" s="95">
        <v>20.12</v>
      </c>
      <c r="I175" s="91">
        <v>5.1959900000000002E-3</v>
      </c>
      <c r="J175" s="90">
        <v>937440</v>
      </c>
      <c r="K175" s="97">
        <v>4871</v>
      </c>
      <c r="L175" s="90">
        <v>935005</v>
      </c>
      <c r="M175" s="96">
        <v>21799457</v>
      </c>
      <c r="N175" s="95">
        <v>23.25</v>
      </c>
    </row>
    <row r="176" spans="1:14" ht="22.5" customHeight="1">
      <c r="A176" s="108"/>
      <c r="B176" s="93" t="s">
        <v>249</v>
      </c>
      <c r="C176" s="91">
        <v>1.2588810000000001E-2</v>
      </c>
      <c r="D176" s="90">
        <v>871316</v>
      </c>
      <c r="E176" s="92">
        <v>10969</v>
      </c>
      <c r="F176" s="90">
        <v>865832</v>
      </c>
      <c r="G176" s="96">
        <v>16860769</v>
      </c>
      <c r="H176" s="95">
        <v>19.350000000000001</v>
      </c>
      <c r="I176" s="91">
        <v>5.6015099999999996E-3</v>
      </c>
      <c r="J176" s="90">
        <v>932569</v>
      </c>
      <c r="K176" s="97">
        <v>5224</v>
      </c>
      <c r="L176" s="90">
        <v>929957</v>
      </c>
      <c r="M176" s="96">
        <v>20864452</v>
      </c>
      <c r="N176" s="95">
        <v>22.37</v>
      </c>
    </row>
    <row r="177" spans="1:14" ht="22.5" customHeight="1">
      <c r="A177" s="108"/>
      <c r="B177" s="93" t="s">
        <v>248</v>
      </c>
      <c r="C177" s="91">
        <v>1.376021E-2</v>
      </c>
      <c r="D177" s="90">
        <v>860347</v>
      </c>
      <c r="E177" s="92">
        <v>11839</v>
      </c>
      <c r="F177" s="90">
        <v>854428</v>
      </c>
      <c r="G177" s="96">
        <v>15994937</v>
      </c>
      <c r="H177" s="95">
        <v>18.59</v>
      </c>
      <c r="I177" s="91">
        <v>6.08794E-3</v>
      </c>
      <c r="J177" s="90">
        <v>927345</v>
      </c>
      <c r="K177" s="97">
        <v>5646</v>
      </c>
      <c r="L177" s="90">
        <v>924522</v>
      </c>
      <c r="M177" s="96">
        <v>19934495</v>
      </c>
      <c r="N177" s="95">
        <v>21.5</v>
      </c>
    </row>
    <row r="178" spans="1:14" ht="22.5" customHeight="1">
      <c r="A178" s="108"/>
      <c r="B178" s="93" t="s">
        <v>247</v>
      </c>
      <c r="C178" s="91">
        <v>1.5132100000000001E-2</v>
      </c>
      <c r="D178" s="90">
        <v>848508</v>
      </c>
      <c r="E178" s="92">
        <v>12840</v>
      </c>
      <c r="F178" s="90">
        <v>842088</v>
      </c>
      <c r="G178" s="96">
        <v>15140509</v>
      </c>
      <c r="H178" s="95">
        <v>17.84</v>
      </c>
      <c r="I178" s="91">
        <v>6.68061E-3</v>
      </c>
      <c r="J178" s="90">
        <v>921699</v>
      </c>
      <c r="K178" s="97">
        <v>6158</v>
      </c>
      <c r="L178" s="90">
        <v>918620</v>
      </c>
      <c r="M178" s="96">
        <v>19009973</v>
      </c>
      <c r="N178" s="95">
        <v>20.62</v>
      </c>
    </row>
    <row r="179" spans="1:14" ht="22.5" customHeight="1">
      <c r="A179" s="108"/>
      <c r="B179" s="93" t="s">
        <v>246</v>
      </c>
      <c r="C179" s="91">
        <v>1.67683E-2</v>
      </c>
      <c r="D179" s="90">
        <v>835668</v>
      </c>
      <c r="E179" s="92">
        <v>14013</v>
      </c>
      <c r="F179" s="90">
        <v>828662</v>
      </c>
      <c r="G179" s="96">
        <v>14298421</v>
      </c>
      <c r="H179" s="95">
        <v>17.11</v>
      </c>
      <c r="I179" s="91">
        <v>7.4117200000000001E-3</v>
      </c>
      <c r="J179" s="90">
        <v>915541</v>
      </c>
      <c r="K179" s="97">
        <v>6786</v>
      </c>
      <c r="L179" s="90">
        <v>912148</v>
      </c>
      <c r="M179" s="96">
        <v>18091353</v>
      </c>
      <c r="N179" s="95">
        <v>19.760000000000002</v>
      </c>
    </row>
    <row r="180" spans="1:14" ht="22.5" customHeight="1">
      <c r="A180" s="108"/>
      <c r="B180" s="93" t="s">
        <v>245</v>
      </c>
      <c r="C180" s="91">
        <v>1.8712690000000001E-2</v>
      </c>
      <c r="D180" s="90">
        <v>821655</v>
      </c>
      <c r="E180" s="92">
        <v>15375</v>
      </c>
      <c r="F180" s="90">
        <v>813968</v>
      </c>
      <c r="G180" s="96">
        <v>13469759</v>
      </c>
      <c r="H180" s="95">
        <v>16.39</v>
      </c>
      <c r="I180" s="91">
        <v>8.3202799999999993E-3</v>
      </c>
      <c r="J180" s="90">
        <v>908755</v>
      </c>
      <c r="K180" s="97">
        <v>7561</v>
      </c>
      <c r="L180" s="90">
        <v>904975</v>
      </c>
      <c r="M180" s="96">
        <v>17179205</v>
      </c>
      <c r="N180" s="95">
        <v>18.899999999999999</v>
      </c>
    </row>
    <row r="181" spans="1:14" ht="22.5" customHeight="1">
      <c r="A181" s="108"/>
      <c r="B181" s="93" t="s">
        <v>244</v>
      </c>
      <c r="C181" s="91">
        <v>2.098537E-2</v>
      </c>
      <c r="D181" s="90">
        <v>806280</v>
      </c>
      <c r="E181" s="92">
        <v>16920</v>
      </c>
      <c r="F181" s="90">
        <v>797820</v>
      </c>
      <c r="G181" s="96">
        <v>12655791</v>
      </c>
      <c r="H181" s="95">
        <v>15.7</v>
      </c>
      <c r="I181" s="91">
        <v>9.4478600000000006E-3</v>
      </c>
      <c r="J181" s="90">
        <v>901194</v>
      </c>
      <c r="K181" s="97">
        <v>8514</v>
      </c>
      <c r="L181" s="90">
        <v>896937</v>
      </c>
      <c r="M181" s="96">
        <v>16274230</v>
      </c>
      <c r="N181" s="95">
        <v>18.059999999999999</v>
      </c>
    </row>
    <row r="182" spans="1:14" ht="22.5" customHeight="1">
      <c r="A182" s="108"/>
      <c r="B182" s="93" t="s">
        <v>243</v>
      </c>
      <c r="C182" s="91">
        <v>2.3579240000000001E-2</v>
      </c>
      <c r="D182" s="90">
        <v>789360</v>
      </c>
      <c r="E182" s="92">
        <v>18613</v>
      </c>
      <c r="F182" s="90">
        <v>780054</v>
      </c>
      <c r="G182" s="96">
        <v>11857971</v>
      </c>
      <c r="H182" s="95">
        <v>15.02</v>
      </c>
      <c r="I182" s="91">
        <v>1.083054E-2</v>
      </c>
      <c r="J182" s="90">
        <v>892680</v>
      </c>
      <c r="K182" s="97">
        <v>9668</v>
      </c>
      <c r="L182" s="90">
        <v>887846</v>
      </c>
      <c r="M182" s="96">
        <v>15377293</v>
      </c>
      <c r="N182" s="95">
        <v>17.23</v>
      </c>
    </row>
    <row r="183" spans="1:14" ht="22.5" customHeight="1">
      <c r="A183" s="108"/>
      <c r="B183" s="93" t="s">
        <v>242</v>
      </c>
      <c r="C183" s="91">
        <v>2.6453669999999999E-2</v>
      </c>
      <c r="D183" s="90">
        <v>770747</v>
      </c>
      <c r="E183" s="92">
        <v>20389</v>
      </c>
      <c r="F183" s="90">
        <v>760553</v>
      </c>
      <c r="G183" s="96">
        <v>11077917</v>
      </c>
      <c r="H183" s="95">
        <v>14.37</v>
      </c>
      <c r="I183" s="91">
        <v>1.2491550000000001E-2</v>
      </c>
      <c r="J183" s="90">
        <v>883012</v>
      </c>
      <c r="K183" s="92">
        <v>11030</v>
      </c>
      <c r="L183" s="90">
        <v>877497</v>
      </c>
      <c r="M183" s="96">
        <v>14489447</v>
      </c>
      <c r="N183" s="95">
        <v>16.41</v>
      </c>
    </row>
    <row r="184" spans="1:14" ht="22.5" customHeight="1">
      <c r="A184" s="108"/>
      <c r="B184" s="93" t="s">
        <v>241</v>
      </c>
      <c r="C184" s="91">
        <v>2.9558609999999999E-2</v>
      </c>
      <c r="D184" s="90">
        <v>750358</v>
      </c>
      <c r="E184" s="92">
        <v>22180</v>
      </c>
      <c r="F184" s="90">
        <v>739268</v>
      </c>
      <c r="G184" s="96">
        <v>10317364</v>
      </c>
      <c r="H184" s="95">
        <v>13.75</v>
      </c>
      <c r="I184" s="91">
        <v>1.444431E-2</v>
      </c>
      <c r="J184" s="90">
        <v>871982</v>
      </c>
      <c r="K184" s="92">
        <v>12595</v>
      </c>
      <c r="L184" s="90">
        <v>865685</v>
      </c>
      <c r="M184" s="96">
        <v>13611950</v>
      </c>
      <c r="N184" s="95">
        <v>15.61</v>
      </c>
    </row>
    <row r="185" spans="1:14" ht="22.5" customHeight="1">
      <c r="A185" s="108"/>
      <c r="B185" s="93" t="s">
        <v>240</v>
      </c>
      <c r="C185" s="91">
        <v>3.2845350000000002E-2</v>
      </c>
      <c r="D185" s="90">
        <v>728178</v>
      </c>
      <c r="E185" s="92">
        <v>23917</v>
      </c>
      <c r="F185" s="90">
        <v>716220</v>
      </c>
      <c r="G185" s="94">
        <v>9578096</v>
      </c>
      <c r="H185" s="95">
        <v>13.15</v>
      </c>
      <c r="I185" s="91">
        <v>1.6694589999999999E-2</v>
      </c>
      <c r="J185" s="90">
        <v>859387</v>
      </c>
      <c r="K185" s="92">
        <v>14347</v>
      </c>
      <c r="L185" s="90">
        <v>852214</v>
      </c>
      <c r="M185" s="96">
        <v>12746265</v>
      </c>
      <c r="N185" s="95">
        <v>14.83</v>
      </c>
    </row>
    <row r="186" spans="1:14" ht="22.5" customHeight="1">
      <c r="A186" s="108"/>
      <c r="B186" s="93" t="s">
        <v>239</v>
      </c>
      <c r="C186" s="91">
        <v>3.6265029999999997E-2</v>
      </c>
      <c r="D186" s="90">
        <v>704261</v>
      </c>
      <c r="E186" s="92">
        <v>25540</v>
      </c>
      <c r="F186" s="90">
        <v>691491</v>
      </c>
      <c r="G186" s="94">
        <v>8861876</v>
      </c>
      <c r="H186" s="95">
        <v>12.58</v>
      </c>
      <c r="I186" s="91">
        <v>1.9244689999999998E-2</v>
      </c>
      <c r="J186" s="90">
        <v>845040</v>
      </c>
      <c r="K186" s="92">
        <v>16263</v>
      </c>
      <c r="L186" s="90">
        <v>836909</v>
      </c>
      <c r="M186" s="96">
        <v>11894051</v>
      </c>
      <c r="N186" s="95">
        <v>14.08</v>
      </c>
    </row>
    <row r="187" spans="1:14" ht="22.5" customHeight="1">
      <c r="A187" s="108"/>
      <c r="B187" s="93" t="s">
        <v>238</v>
      </c>
      <c r="C187" s="91">
        <v>3.9780839999999998E-2</v>
      </c>
      <c r="D187" s="90">
        <v>678721</v>
      </c>
      <c r="E187" s="92">
        <v>27000</v>
      </c>
      <c r="F187" s="90">
        <v>665221</v>
      </c>
      <c r="G187" s="94">
        <v>8170385</v>
      </c>
      <c r="H187" s="95">
        <v>12.04</v>
      </c>
      <c r="I187" s="91">
        <v>2.2091360000000001E-2</v>
      </c>
      <c r="J187" s="90">
        <v>828777</v>
      </c>
      <c r="K187" s="92">
        <v>18309</v>
      </c>
      <c r="L187" s="90">
        <v>819623</v>
      </c>
      <c r="M187" s="96">
        <v>11057142</v>
      </c>
      <c r="N187" s="95">
        <v>13.34</v>
      </c>
    </row>
    <row r="188" spans="1:14" ht="22.5" customHeight="1">
      <c r="A188" s="108"/>
      <c r="B188" s="93" t="s">
        <v>237</v>
      </c>
      <c r="C188" s="91">
        <v>4.3380269999999999E-2</v>
      </c>
      <c r="D188" s="90">
        <v>651721</v>
      </c>
      <c r="E188" s="92">
        <v>28272</v>
      </c>
      <c r="F188" s="90">
        <v>637585</v>
      </c>
      <c r="G188" s="94">
        <v>7505164</v>
      </c>
      <c r="H188" s="95">
        <v>11.52</v>
      </c>
      <c r="I188" s="91">
        <v>2.5237249999999999E-2</v>
      </c>
      <c r="J188" s="90">
        <v>810468</v>
      </c>
      <c r="K188" s="92">
        <v>20454</v>
      </c>
      <c r="L188" s="90">
        <v>800241</v>
      </c>
      <c r="M188" s="96">
        <v>10237519</v>
      </c>
      <c r="N188" s="95">
        <v>12.63</v>
      </c>
    </row>
    <row r="189" spans="1:14" ht="22.5" customHeight="1">
      <c r="A189" s="108"/>
      <c r="B189" s="93" t="s">
        <v>236</v>
      </c>
      <c r="C189" s="91">
        <v>4.7049639999999997E-2</v>
      </c>
      <c r="D189" s="90">
        <v>623449</v>
      </c>
      <c r="E189" s="92">
        <v>29333</v>
      </c>
      <c r="F189" s="90">
        <v>608783</v>
      </c>
      <c r="G189" s="94">
        <v>6867579</v>
      </c>
      <c r="H189" s="95">
        <v>11.02</v>
      </c>
      <c r="I189" s="91">
        <v>2.8678479999999999E-2</v>
      </c>
      <c r="J189" s="90">
        <v>790014</v>
      </c>
      <c r="K189" s="92">
        <v>22656</v>
      </c>
      <c r="L189" s="90">
        <v>778686</v>
      </c>
      <c r="M189" s="94">
        <v>9437278</v>
      </c>
      <c r="N189" s="95">
        <v>11.95</v>
      </c>
    </row>
    <row r="190" spans="1:14" ht="22.5" customHeight="1">
      <c r="A190" s="108"/>
      <c r="B190" s="93" t="s">
        <v>235</v>
      </c>
      <c r="C190" s="91">
        <v>5.0782920000000002E-2</v>
      </c>
      <c r="D190" s="90">
        <v>594116</v>
      </c>
      <c r="E190" s="92">
        <v>30171</v>
      </c>
      <c r="F190" s="90">
        <v>579031</v>
      </c>
      <c r="G190" s="94">
        <v>6258796</v>
      </c>
      <c r="H190" s="95">
        <v>10.53</v>
      </c>
      <c r="I190" s="91">
        <v>3.2410889999999998E-2</v>
      </c>
      <c r="J190" s="90">
        <v>767358</v>
      </c>
      <c r="K190" s="92">
        <v>24871</v>
      </c>
      <c r="L190" s="90">
        <v>754923</v>
      </c>
      <c r="M190" s="94">
        <v>8658592</v>
      </c>
      <c r="N190" s="95">
        <v>11.28</v>
      </c>
    </row>
    <row r="191" spans="1:14" ht="22.5" customHeight="1">
      <c r="A191" s="108"/>
      <c r="B191" s="93" t="s">
        <v>234</v>
      </c>
      <c r="C191" s="91">
        <v>5.4579280000000001E-2</v>
      </c>
      <c r="D191" s="90">
        <v>563945</v>
      </c>
      <c r="E191" s="92">
        <v>30780</v>
      </c>
      <c r="F191" s="90">
        <v>548555</v>
      </c>
      <c r="G191" s="94">
        <v>5679765</v>
      </c>
      <c r="H191" s="95">
        <v>10.07</v>
      </c>
      <c r="I191" s="91">
        <v>3.6431119999999997E-2</v>
      </c>
      <c r="J191" s="90">
        <v>742487</v>
      </c>
      <c r="K191" s="92">
        <v>27050</v>
      </c>
      <c r="L191" s="90">
        <v>728962</v>
      </c>
      <c r="M191" s="94">
        <v>7903669</v>
      </c>
      <c r="N191" s="95">
        <v>10.64</v>
      </c>
    </row>
    <row r="192" spans="1:14" ht="22.5" customHeight="1">
      <c r="A192" s="108"/>
      <c r="B192" s="93" t="s">
        <v>233</v>
      </c>
      <c r="C192" s="91">
        <v>5.8437910000000003E-2</v>
      </c>
      <c r="D192" s="90">
        <v>533165</v>
      </c>
      <c r="E192" s="92">
        <v>31157</v>
      </c>
      <c r="F192" s="90">
        <v>517587</v>
      </c>
      <c r="G192" s="94">
        <v>5131210</v>
      </c>
      <c r="H192" s="89">
        <v>9.6199999999999992</v>
      </c>
      <c r="I192" s="91">
        <v>4.0735559999999997E-2</v>
      </c>
      <c r="J192" s="90">
        <v>715437</v>
      </c>
      <c r="K192" s="92">
        <v>29144</v>
      </c>
      <c r="L192" s="90">
        <v>700865</v>
      </c>
      <c r="M192" s="94">
        <v>7174707</v>
      </c>
      <c r="N192" s="95">
        <v>10.029999999999999</v>
      </c>
    </row>
    <row r="193" spans="1:14" ht="22.5" customHeight="1">
      <c r="A193" s="108"/>
      <c r="B193" s="93" t="s">
        <v>232</v>
      </c>
      <c r="C193" s="91">
        <v>6.2560569999999996E-2</v>
      </c>
      <c r="D193" s="90">
        <v>502008</v>
      </c>
      <c r="E193" s="92">
        <v>31406</v>
      </c>
      <c r="F193" s="90">
        <v>486305</v>
      </c>
      <c r="G193" s="94">
        <v>4613623</v>
      </c>
      <c r="H193" s="89">
        <v>9.19</v>
      </c>
      <c r="I193" s="91">
        <v>4.5525870000000003E-2</v>
      </c>
      <c r="J193" s="90">
        <v>686293</v>
      </c>
      <c r="K193" s="92">
        <v>31244</v>
      </c>
      <c r="L193" s="90">
        <v>670671</v>
      </c>
      <c r="M193" s="94">
        <v>6473842</v>
      </c>
      <c r="N193" s="89">
        <v>9.43</v>
      </c>
    </row>
    <row r="194" spans="1:14" ht="22.5" customHeight="1">
      <c r="A194" s="108"/>
      <c r="B194" s="93" t="s">
        <v>231</v>
      </c>
      <c r="C194" s="91">
        <v>6.6964040000000002E-2</v>
      </c>
      <c r="D194" s="90">
        <v>470602</v>
      </c>
      <c r="E194" s="92">
        <v>31513</v>
      </c>
      <c r="F194" s="90">
        <v>454846</v>
      </c>
      <c r="G194" s="94">
        <v>4127318</v>
      </c>
      <c r="H194" s="89">
        <v>8.77</v>
      </c>
      <c r="I194" s="91">
        <v>5.0852700000000001E-2</v>
      </c>
      <c r="J194" s="90">
        <v>655049</v>
      </c>
      <c r="K194" s="92">
        <v>33311</v>
      </c>
      <c r="L194" s="90">
        <v>638394</v>
      </c>
      <c r="M194" s="94">
        <v>5803171</v>
      </c>
      <c r="N194" s="89">
        <v>8.86</v>
      </c>
    </row>
    <row r="195" spans="1:14" ht="22.5" customHeight="1">
      <c r="A195" s="108"/>
      <c r="B195" s="93" t="s">
        <v>230</v>
      </c>
      <c r="C195" s="91">
        <v>7.1665989999999999E-2</v>
      </c>
      <c r="D195" s="90">
        <v>439089</v>
      </c>
      <c r="E195" s="92">
        <v>31468</v>
      </c>
      <c r="F195" s="90">
        <v>423355</v>
      </c>
      <c r="G195" s="94">
        <v>3672472</v>
      </c>
      <c r="H195" s="89">
        <v>8.36</v>
      </c>
      <c r="I195" s="91">
        <v>5.6771160000000001E-2</v>
      </c>
      <c r="J195" s="90">
        <v>621738</v>
      </c>
      <c r="K195" s="92">
        <v>35297</v>
      </c>
      <c r="L195" s="90">
        <v>604090</v>
      </c>
      <c r="M195" s="94">
        <v>5164777</v>
      </c>
      <c r="N195" s="89">
        <v>8.31</v>
      </c>
    </row>
    <row r="196" spans="1:14" ht="22.5" customHeight="1">
      <c r="A196" s="108"/>
      <c r="B196" s="93" t="s">
        <v>229</v>
      </c>
      <c r="C196" s="91">
        <v>7.6685000000000003E-2</v>
      </c>
      <c r="D196" s="90">
        <v>407621</v>
      </c>
      <c r="E196" s="92">
        <v>31258</v>
      </c>
      <c r="F196" s="90">
        <v>391992</v>
      </c>
      <c r="G196" s="94">
        <v>3249117</v>
      </c>
      <c r="H196" s="89">
        <v>7.97</v>
      </c>
      <c r="I196" s="91">
        <v>6.3340999999999995E-2</v>
      </c>
      <c r="J196" s="90">
        <v>586441</v>
      </c>
      <c r="K196" s="92">
        <v>37146</v>
      </c>
      <c r="L196" s="90">
        <v>567868</v>
      </c>
      <c r="M196" s="94">
        <v>4560687</v>
      </c>
      <c r="N196" s="89">
        <v>7.78</v>
      </c>
    </row>
    <row r="197" spans="1:14" ht="22.5" customHeight="1">
      <c r="A197" s="108"/>
      <c r="B197" s="93" t="s">
        <v>228</v>
      </c>
      <c r="C197" s="91">
        <v>8.2040550000000004E-2</v>
      </c>
      <c r="D197" s="90">
        <v>376363</v>
      </c>
      <c r="E197" s="92">
        <v>30877</v>
      </c>
      <c r="F197" s="90">
        <v>360925</v>
      </c>
      <c r="G197" s="94">
        <v>2857125</v>
      </c>
      <c r="H197" s="89">
        <v>7.59</v>
      </c>
      <c r="I197" s="91">
        <v>7.0626770000000005E-2</v>
      </c>
      <c r="J197" s="90">
        <v>549295</v>
      </c>
      <c r="K197" s="92">
        <v>38795</v>
      </c>
      <c r="L197" s="90">
        <v>529898</v>
      </c>
      <c r="M197" s="94">
        <v>3992819</v>
      </c>
      <c r="N197" s="89">
        <v>7.27</v>
      </c>
    </row>
    <row r="198" spans="1:14" ht="22.5" customHeight="1">
      <c r="A198" s="108"/>
      <c r="B198" s="93" t="s">
        <v>227</v>
      </c>
      <c r="C198" s="91">
        <v>8.7753059999999994E-2</v>
      </c>
      <c r="D198" s="90">
        <v>345486</v>
      </c>
      <c r="E198" s="92">
        <v>30317</v>
      </c>
      <c r="F198" s="90">
        <v>330328</v>
      </c>
      <c r="G198" s="94">
        <v>2496200</v>
      </c>
      <c r="H198" s="89">
        <v>7.23</v>
      </c>
      <c r="I198" s="91">
        <v>7.8697959999999997E-2</v>
      </c>
      <c r="J198" s="90">
        <v>510500</v>
      </c>
      <c r="K198" s="92">
        <v>40175</v>
      </c>
      <c r="L198" s="90">
        <v>490413</v>
      </c>
      <c r="M198" s="94">
        <v>3462921</v>
      </c>
      <c r="N198" s="89">
        <v>6.78</v>
      </c>
    </row>
    <row r="199" spans="1:14" ht="22.5" customHeight="1">
      <c r="A199" s="108"/>
      <c r="B199" s="93" t="s">
        <v>226</v>
      </c>
      <c r="C199" s="91">
        <v>9.3843869999999996E-2</v>
      </c>
      <c r="D199" s="90">
        <v>315169</v>
      </c>
      <c r="E199" s="92">
        <v>29577</v>
      </c>
      <c r="F199" s="90">
        <v>300381</v>
      </c>
      <c r="G199" s="94">
        <v>2165872</v>
      </c>
      <c r="H199" s="89">
        <v>6.87</v>
      </c>
      <c r="I199" s="91">
        <v>8.7629059999999995E-2</v>
      </c>
      <c r="J199" s="90">
        <v>470325</v>
      </c>
      <c r="K199" s="92">
        <v>41214</v>
      </c>
      <c r="L199" s="90">
        <v>449718</v>
      </c>
      <c r="M199" s="94">
        <v>2972508</v>
      </c>
      <c r="N199" s="89">
        <v>6.32</v>
      </c>
    </row>
    <row r="200" spans="1:14" ht="22.5" customHeight="1">
      <c r="A200" s="108"/>
      <c r="B200" s="93" t="s">
        <v>225</v>
      </c>
      <c r="C200" s="91">
        <v>0.10033525</v>
      </c>
      <c r="D200" s="90">
        <v>285592</v>
      </c>
      <c r="E200" s="92">
        <v>28655</v>
      </c>
      <c r="F200" s="90">
        <v>271265</v>
      </c>
      <c r="G200" s="94">
        <v>1865491</v>
      </c>
      <c r="H200" s="89">
        <v>6.53</v>
      </c>
      <c r="I200" s="91">
        <v>9.7499500000000003E-2</v>
      </c>
      <c r="J200" s="90">
        <v>429111</v>
      </c>
      <c r="K200" s="92">
        <v>41838</v>
      </c>
      <c r="L200" s="90">
        <v>408192</v>
      </c>
      <c r="M200" s="94">
        <v>2522790</v>
      </c>
      <c r="N200" s="89">
        <v>5.88</v>
      </c>
    </row>
    <row r="201" spans="1:14" ht="22.5" customHeight="1">
      <c r="A201" s="108"/>
      <c r="B201" s="93" t="s">
        <v>224</v>
      </c>
      <c r="C201" s="91">
        <v>0.10725039</v>
      </c>
      <c r="D201" s="90">
        <v>256937</v>
      </c>
      <c r="E201" s="92">
        <v>27557</v>
      </c>
      <c r="F201" s="90">
        <v>243159</v>
      </c>
      <c r="G201" s="94">
        <v>1594226</v>
      </c>
      <c r="H201" s="89">
        <v>6.2</v>
      </c>
      <c r="I201" s="91">
        <v>0.10839355000000001</v>
      </c>
      <c r="J201" s="90">
        <v>387273</v>
      </c>
      <c r="K201" s="92">
        <v>41978</v>
      </c>
      <c r="L201" s="90">
        <v>366284</v>
      </c>
      <c r="M201" s="94">
        <v>2114598</v>
      </c>
      <c r="N201" s="89">
        <v>5.46</v>
      </c>
    </row>
    <row r="202" spans="1:14" ht="22.5" customHeight="1">
      <c r="A202" s="108"/>
      <c r="B202" s="93" t="s">
        <v>223</v>
      </c>
      <c r="C202" s="91">
        <v>0.11461337000000001</v>
      </c>
      <c r="D202" s="90">
        <v>229380</v>
      </c>
      <c r="E202" s="92">
        <v>26290</v>
      </c>
      <c r="F202" s="90">
        <v>216235</v>
      </c>
      <c r="G202" s="94">
        <v>1351067</v>
      </c>
      <c r="H202" s="89">
        <v>5.89</v>
      </c>
      <c r="I202" s="91">
        <v>0.12040001</v>
      </c>
      <c r="J202" s="90">
        <v>345295</v>
      </c>
      <c r="K202" s="92">
        <v>41574</v>
      </c>
      <c r="L202" s="90">
        <v>324508</v>
      </c>
      <c r="M202" s="94">
        <v>1748314</v>
      </c>
      <c r="N202" s="89">
        <v>5.0599999999999996</v>
      </c>
    </row>
    <row r="203" spans="1:14" ht="22.5" customHeight="1">
      <c r="A203" s="108"/>
      <c r="B203" s="93" t="s">
        <v>222</v>
      </c>
      <c r="C203" s="91">
        <v>0.12244913</v>
      </c>
      <c r="D203" s="90">
        <v>203090</v>
      </c>
      <c r="E203" s="92">
        <v>24868</v>
      </c>
      <c r="F203" s="90">
        <v>190656</v>
      </c>
      <c r="G203" s="94">
        <v>1134832</v>
      </c>
      <c r="H203" s="89">
        <v>5.59</v>
      </c>
      <c r="I203" s="91">
        <v>0.13361184000000001</v>
      </c>
      <c r="J203" s="90">
        <v>303721</v>
      </c>
      <c r="K203" s="92">
        <v>40581</v>
      </c>
      <c r="L203" s="90">
        <v>283431</v>
      </c>
      <c r="M203" s="94">
        <v>1423806</v>
      </c>
      <c r="N203" s="89">
        <v>4.6900000000000004</v>
      </c>
    </row>
    <row r="204" spans="1:14" ht="22.5" customHeight="1">
      <c r="A204" s="108"/>
      <c r="B204" s="93" t="s">
        <v>221</v>
      </c>
      <c r="C204" s="91">
        <v>0.13078344</v>
      </c>
      <c r="D204" s="90">
        <v>178222</v>
      </c>
      <c r="E204" s="92">
        <v>23308</v>
      </c>
      <c r="F204" s="90">
        <v>166568</v>
      </c>
      <c r="G204" s="90">
        <v>944176</v>
      </c>
      <c r="H204" s="89">
        <v>5.3</v>
      </c>
      <c r="I204" s="91">
        <v>0.14812549999999999</v>
      </c>
      <c r="J204" s="90">
        <v>263140</v>
      </c>
      <c r="K204" s="92">
        <v>38978</v>
      </c>
      <c r="L204" s="90">
        <v>243651</v>
      </c>
      <c r="M204" s="94">
        <v>1140375</v>
      </c>
      <c r="N204" s="89">
        <v>4.33</v>
      </c>
    </row>
    <row r="205" spans="1:14" ht="22.5" customHeight="1">
      <c r="A205" s="108"/>
      <c r="B205" s="93" t="s">
        <v>220</v>
      </c>
      <c r="C205" s="91">
        <v>0.13964282</v>
      </c>
      <c r="D205" s="90">
        <v>154914</v>
      </c>
      <c r="E205" s="92">
        <v>21633</v>
      </c>
      <c r="F205" s="90">
        <v>144098</v>
      </c>
      <c r="G205" s="90">
        <v>777608</v>
      </c>
      <c r="H205" s="89">
        <v>5.0199999999999996</v>
      </c>
      <c r="I205" s="91">
        <v>0.16404015</v>
      </c>
      <c r="J205" s="90">
        <v>224162</v>
      </c>
      <c r="K205" s="92">
        <v>36772</v>
      </c>
      <c r="L205" s="90">
        <v>205776</v>
      </c>
      <c r="M205" s="90">
        <v>896724</v>
      </c>
      <c r="N205" s="89">
        <v>4</v>
      </c>
    </row>
    <row r="206" spans="1:14" ht="22.5" customHeight="1">
      <c r="A206" s="108"/>
      <c r="B206" s="93" t="s">
        <v>219</v>
      </c>
      <c r="C206" s="91">
        <v>0.14905449000000001</v>
      </c>
      <c r="D206" s="90">
        <v>133281</v>
      </c>
      <c r="E206" s="92">
        <v>19866</v>
      </c>
      <c r="F206" s="90">
        <v>123348</v>
      </c>
      <c r="G206" s="90">
        <v>633510</v>
      </c>
      <c r="H206" s="89">
        <v>4.75</v>
      </c>
      <c r="I206" s="91">
        <v>0.18145660999999999</v>
      </c>
      <c r="J206" s="90">
        <v>187390</v>
      </c>
      <c r="K206" s="92">
        <v>34003</v>
      </c>
      <c r="L206" s="90">
        <v>170389</v>
      </c>
      <c r="M206" s="90">
        <v>690948</v>
      </c>
      <c r="N206" s="89">
        <v>3.69</v>
      </c>
    </row>
    <row r="207" spans="1:14" ht="22.5" customHeight="1">
      <c r="A207" s="108"/>
      <c r="B207" s="93" t="s">
        <v>218</v>
      </c>
      <c r="C207" s="91">
        <v>0.15904625999999999</v>
      </c>
      <c r="D207" s="90">
        <v>113415</v>
      </c>
      <c r="E207" s="92">
        <v>18038</v>
      </c>
      <c r="F207" s="90">
        <v>104396</v>
      </c>
      <c r="G207" s="90">
        <v>510162</v>
      </c>
      <c r="H207" s="89">
        <v>4.5</v>
      </c>
      <c r="I207" s="91">
        <v>0.20047598</v>
      </c>
      <c r="J207" s="90">
        <v>153387</v>
      </c>
      <c r="K207" s="92">
        <v>30750</v>
      </c>
      <c r="L207" s="90">
        <v>138012</v>
      </c>
      <c r="M207" s="90">
        <v>520559</v>
      </c>
      <c r="N207" s="89">
        <v>3.39</v>
      </c>
    </row>
    <row r="208" spans="1:14" ht="22.5" customHeight="1">
      <c r="A208" s="108"/>
      <c r="B208" s="93" t="s">
        <v>217</v>
      </c>
      <c r="C208" s="91">
        <v>1</v>
      </c>
      <c r="D208" s="92">
        <v>95377</v>
      </c>
      <c r="E208" s="92">
        <v>95377</v>
      </c>
      <c r="F208" s="90">
        <v>405766</v>
      </c>
      <c r="G208" s="90">
        <v>405766</v>
      </c>
      <c r="H208" s="89">
        <v>4.25</v>
      </c>
      <c r="I208" s="91">
        <v>1</v>
      </c>
      <c r="J208" s="90">
        <v>122637</v>
      </c>
      <c r="K208" s="90">
        <v>122637</v>
      </c>
      <c r="L208" s="90">
        <v>382547</v>
      </c>
      <c r="M208" s="90">
        <v>382547</v>
      </c>
      <c r="N208" s="89">
        <v>3.12</v>
      </c>
    </row>
    <row r="209" spans="1:14" ht="21.75" customHeight="1">
      <c r="A209" s="108" t="s">
        <v>319</v>
      </c>
      <c r="B209" s="93" t="s">
        <v>317</v>
      </c>
      <c r="C209" s="91">
        <v>1.93327E-3</v>
      </c>
      <c r="D209" s="94">
        <v>1000000</v>
      </c>
      <c r="E209" s="97">
        <v>1933</v>
      </c>
      <c r="F209" s="90">
        <v>998301</v>
      </c>
      <c r="G209" s="96">
        <v>80698271</v>
      </c>
      <c r="H209" s="95">
        <v>80.7</v>
      </c>
      <c r="I209" s="91">
        <v>1.4992E-3</v>
      </c>
      <c r="J209" s="94">
        <v>1000000</v>
      </c>
      <c r="K209" s="97">
        <v>1499</v>
      </c>
      <c r="L209" s="90">
        <v>998751</v>
      </c>
      <c r="M209" s="96">
        <v>86771821</v>
      </c>
      <c r="N209" s="95">
        <v>86.77</v>
      </c>
    </row>
    <row r="210" spans="1:14" ht="22.5" customHeight="1">
      <c r="A210" s="108"/>
      <c r="B210" s="93" t="s">
        <v>316</v>
      </c>
      <c r="C210" s="91">
        <v>6.5284999999999996E-4</v>
      </c>
      <c r="D210" s="90">
        <v>998067</v>
      </c>
      <c r="E210" s="98">
        <v>652</v>
      </c>
      <c r="F210" s="90">
        <v>997741</v>
      </c>
      <c r="G210" s="96">
        <v>79699970</v>
      </c>
      <c r="H210" s="95">
        <v>79.849999999999994</v>
      </c>
      <c r="I210" s="91">
        <v>4.6370999999999999E-4</v>
      </c>
      <c r="J210" s="90">
        <v>998501</v>
      </c>
      <c r="K210" s="98">
        <v>463</v>
      </c>
      <c r="L210" s="90">
        <v>998270</v>
      </c>
      <c r="M210" s="96">
        <v>85773070</v>
      </c>
      <c r="N210" s="95">
        <v>85.9</v>
      </c>
    </row>
    <row r="211" spans="1:14" ht="22.5" customHeight="1">
      <c r="A211" s="108"/>
      <c r="B211" s="93" t="s">
        <v>315</v>
      </c>
      <c r="C211" s="91">
        <v>5.0796999999999995E-4</v>
      </c>
      <c r="D211" s="90">
        <v>997415</v>
      </c>
      <c r="E211" s="98">
        <v>507</v>
      </c>
      <c r="F211" s="90">
        <v>997162</v>
      </c>
      <c r="G211" s="96">
        <v>78702229</v>
      </c>
      <c r="H211" s="95">
        <v>78.91</v>
      </c>
      <c r="I211" s="91">
        <v>3.6141E-4</v>
      </c>
      <c r="J211" s="90">
        <v>998038</v>
      </c>
      <c r="K211" s="98">
        <v>361</v>
      </c>
      <c r="L211" s="90">
        <v>997858</v>
      </c>
      <c r="M211" s="96">
        <v>84774800</v>
      </c>
      <c r="N211" s="95">
        <v>84.94</v>
      </c>
    </row>
    <row r="212" spans="1:14" ht="22.5" customHeight="1">
      <c r="A212" s="108"/>
      <c r="B212" s="93" t="s">
        <v>314</v>
      </c>
      <c r="C212" s="91">
        <v>3.8285000000000001E-4</v>
      </c>
      <c r="D212" s="90">
        <v>996908</v>
      </c>
      <c r="E212" s="98">
        <v>382</v>
      </c>
      <c r="F212" s="90">
        <v>996717</v>
      </c>
      <c r="G212" s="96">
        <v>77705067</v>
      </c>
      <c r="H212" s="95">
        <v>77.95</v>
      </c>
      <c r="I212" s="91">
        <v>2.7365000000000001E-4</v>
      </c>
      <c r="J212" s="90">
        <v>997677</v>
      </c>
      <c r="K212" s="98">
        <v>273</v>
      </c>
      <c r="L212" s="90">
        <v>997541</v>
      </c>
      <c r="M212" s="96">
        <v>83776942</v>
      </c>
      <c r="N212" s="95">
        <v>83.97</v>
      </c>
    </row>
    <row r="213" spans="1:14" ht="22.5" customHeight="1">
      <c r="A213" s="108"/>
      <c r="B213" s="93" t="s">
        <v>313</v>
      </c>
      <c r="C213" s="91">
        <v>2.7750000000000002E-4</v>
      </c>
      <c r="D213" s="90">
        <v>996526</v>
      </c>
      <c r="E213" s="98">
        <v>277</v>
      </c>
      <c r="F213" s="90">
        <v>996388</v>
      </c>
      <c r="G213" s="96">
        <v>76708350</v>
      </c>
      <c r="H213" s="95">
        <v>76.98</v>
      </c>
      <c r="I213" s="91">
        <v>2.0044999999999999E-4</v>
      </c>
      <c r="J213" s="90">
        <v>997404</v>
      </c>
      <c r="K213" s="98">
        <v>200</v>
      </c>
      <c r="L213" s="90">
        <v>997304</v>
      </c>
      <c r="M213" s="96">
        <v>82779401</v>
      </c>
      <c r="N213" s="95">
        <v>82.99</v>
      </c>
    </row>
    <row r="214" spans="1:14" ht="22.5" customHeight="1">
      <c r="A214" s="108"/>
      <c r="B214" s="93" t="s">
        <v>312</v>
      </c>
      <c r="C214" s="91">
        <v>1.9194000000000001E-4</v>
      </c>
      <c r="D214" s="90">
        <v>996249</v>
      </c>
      <c r="E214" s="98">
        <v>191</v>
      </c>
      <c r="F214" s="90">
        <v>996154</v>
      </c>
      <c r="G214" s="96">
        <v>75711962</v>
      </c>
      <c r="H214" s="95">
        <v>76</v>
      </c>
      <c r="I214" s="91">
        <v>1.4174000000000001E-4</v>
      </c>
      <c r="J214" s="90">
        <v>997204</v>
      </c>
      <c r="K214" s="98">
        <v>141</v>
      </c>
      <c r="L214" s="90">
        <v>997134</v>
      </c>
      <c r="M214" s="96">
        <v>81782097</v>
      </c>
      <c r="N214" s="95">
        <v>82.01</v>
      </c>
    </row>
    <row r="215" spans="1:14" ht="22.5" customHeight="1">
      <c r="A215" s="108"/>
      <c r="B215" s="93" t="s">
        <v>311</v>
      </c>
      <c r="C215" s="91">
        <v>1.2608000000000001E-4</v>
      </c>
      <c r="D215" s="90">
        <v>996058</v>
      </c>
      <c r="E215" s="98">
        <v>126</v>
      </c>
      <c r="F215" s="90">
        <v>995995</v>
      </c>
      <c r="G215" s="96">
        <v>74715808</v>
      </c>
      <c r="H215" s="95">
        <v>75.010000000000005</v>
      </c>
      <c r="I215" s="91">
        <v>9.7289999999999999E-5</v>
      </c>
      <c r="J215" s="90">
        <v>997063</v>
      </c>
      <c r="K215" s="99">
        <v>97</v>
      </c>
      <c r="L215" s="90">
        <v>997015</v>
      </c>
      <c r="M215" s="96">
        <v>80784963</v>
      </c>
      <c r="N215" s="95">
        <v>81.02</v>
      </c>
    </row>
    <row r="216" spans="1:14" ht="22.5" customHeight="1">
      <c r="A216" s="108"/>
      <c r="B216" s="93" t="s">
        <v>310</v>
      </c>
      <c r="C216" s="91">
        <v>7.9220000000000004E-5</v>
      </c>
      <c r="D216" s="90">
        <v>995932</v>
      </c>
      <c r="E216" s="99">
        <v>79</v>
      </c>
      <c r="F216" s="90">
        <v>995893</v>
      </c>
      <c r="G216" s="96">
        <v>73719813</v>
      </c>
      <c r="H216" s="95">
        <v>74.02</v>
      </c>
      <c r="I216" s="91">
        <v>6.6470000000000006E-5</v>
      </c>
      <c r="J216" s="90">
        <v>996966</v>
      </c>
      <c r="K216" s="99">
        <v>66</v>
      </c>
      <c r="L216" s="90">
        <v>996933</v>
      </c>
      <c r="M216" s="96">
        <v>79787948</v>
      </c>
      <c r="N216" s="95">
        <v>80.03</v>
      </c>
    </row>
    <row r="217" spans="1:14" ht="22.5" customHeight="1">
      <c r="A217" s="108"/>
      <c r="B217" s="93" t="s">
        <v>309</v>
      </c>
      <c r="C217" s="91">
        <v>5.0909999999999999E-5</v>
      </c>
      <c r="D217" s="90">
        <v>995853</v>
      </c>
      <c r="E217" s="99">
        <v>51</v>
      </c>
      <c r="F217" s="90">
        <v>995828</v>
      </c>
      <c r="G217" s="96">
        <v>72723920</v>
      </c>
      <c r="H217" s="95">
        <v>73.03</v>
      </c>
      <c r="I217" s="91">
        <v>4.8479999999999997E-5</v>
      </c>
      <c r="J217" s="90">
        <v>996900</v>
      </c>
      <c r="K217" s="99">
        <v>48</v>
      </c>
      <c r="L217" s="90">
        <v>996876</v>
      </c>
      <c r="M217" s="96">
        <v>78791015</v>
      </c>
      <c r="N217" s="95">
        <v>79.040000000000006</v>
      </c>
    </row>
    <row r="218" spans="1:14" ht="22.5" customHeight="1">
      <c r="A218" s="108"/>
      <c r="B218" s="93" t="s">
        <v>308</v>
      </c>
      <c r="C218" s="91">
        <v>3.9990000000000002E-5</v>
      </c>
      <c r="D218" s="90">
        <v>995802</v>
      </c>
      <c r="E218" s="99">
        <v>40</v>
      </c>
      <c r="F218" s="90">
        <v>995782</v>
      </c>
      <c r="G218" s="96">
        <v>71728092</v>
      </c>
      <c r="H218" s="95">
        <v>72.03</v>
      </c>
      <c r="I218" s="91">
        <v>4.189E-5</v>
      </c>
      <c r="J218" s="90">
        <v>996852</v>
      </c>
      <c r="K218" s="99">
        <v>42</v>
      </c>
      <c r="L218" s="90">
        <v>996831</v>
      </c>
      <c r="M218" s="96">
        <v>77794139</v>
      </c>
      <c r="N218" s="95">
        <v>78.040000000000006</v>
      </c>
    </row>
    <row r="219" spans="1:14" ht="22.5" customHeight="1">
      <c r="A219" s="108"/>
      <c r="B219" s="93" t="s">
        <v>307</v>
      </c>
      <c r="C219" s="91">
        <v>4.5030000000000001E-5</v>
      </c>
      <c r="D219" s="90">
        <v>995762</v>
      </c>
      <c r="E219" s="99">
        <v>45</v>
      </c>
      <c r="F219" s="90">
        <v>995740</v>
      </c>
      <c r="G219" s="96">
        <v>70732310</v>
      </c>
      <c r="H219" s="95">
        <v>71.03</v>
      </c>
      <c r="I219" s="91">
        <v>4.5080000000000002E-5</v>
      </c>
      <c r="J219" s="90">
        <v>996810</v>
      </c>
      <c r="K219" s="99">
        <v>45</v>
      </c>
      <c r="L219" s="90">
        <v>996788</v>
      </c>
      <c r="M219" s="96">
        <v>76797308</v>
      </c>
      <c r="N219" s="95">
        <v>77.040000000000006</v>
      </c>
    </row>
    <row r="220" spans="1:14" ht="22.5" customHeight="1">
      <c r="A220" s="108"/>
      <c r="B220" s="93" t="s">
        <v>306</v>
      </c>
      <c r="C220" s="91">
        <v>6.3830000000000004E-5</v>
      </c>
      <c r="D220" s="90">
        <v>995717</v>
      </c>
      <c r="E220" s="99">
        <v>64</v>
      </c>
      <c r="F220" s="90">
        <v>995685</v>
      </c>
      <c r="G220" s="96">
        <v>69736570</v>
      </c>
      <c r="H220" s="95">
        <v>70.040000000000006</v>
      </c>
      <c r="I220" s="91">
        <v>5.5940000000000003E-5</v>
      </c>
      <c r="J220" s="90">
        <v>996765</v>
      </c>
      <c r="K220" s="99">
        <v>56</v>
      </c>
      <c r="L220" s="90">
        <v>996737</v>
      </c>
      <c r="M220" s="96">
        <v>75800520</v>
      </c>
      <c r="N220" s="95">
        <v>76.05</v>
      </c>
    </row>
    <row r="221" spans="1:14" ht="22.5" customHeight="1">
      <c r="A221" s="108"/>
      <c r="B221" s="93" t="s">
        <v>305</v>
      </c>
      <c r="C221" s="91">
        <v>9.3460000000000003E-5</v>
      </c>
      <c r="D221" s="90">
        <v>995653</v>
      </c>
      <c r="E221" s="99">
        <v>93</v>
      </c>
      <c r="F221" s="90">
        <v>995607</v>
      </c>
      <c r="G221" s="96">
        <v>68740885</v>
      </c>
      <c r="H221" s="95">
        <v>69.040000000000006</v>
      </c>
      <c r="I221" s="91">
        <v>7.1950000000000001E-5</v>
      </c>
      <c r="J221" s="90">
        <v>996709</v>
      </c>
      <c r="K221" s="99">
        <v>72</v>
      </c>
      <c r="L221" s="90">
        <v>996673</v>
      </c>
      <c r="M221" s="96">
        <v>74803783</v>
      </c>
      <c r="N221" s="95">
        <v>75.05</v>
      </c>
    </row>
    <row r="222" spans="1:14" ht="22.5" customHeight="1">
      <c r="A222" s="108"/>
      <c r="B222" s="93" t="s">
        <v>304</v>
      </c>
      <c r="C222" s="91">
        <v>1.3027000000000001E-4</v>
      </c>
      <c r="D222" s="90">
        <v>995560</v>
      </c>
      <c r="E222" s="98">
        <v>130</v>
      </c>
      <c r="F222" s="90">
        <v>995495</v>
      </c>
      <c r="G222" s="96">
        <v>67745278</v>
      </c>
      <c r="H222" s="95">
        <v>68.05</v>
      </c>
      <c r="I222" s="91">
        <v>9.0610000000000002E-5</v>
      </c>
      <c r="J222" s="90">
        <v>996637</v>
      </c>
      <c r="K222" s="99">
        <v>90</v>
      </c>
      <c r="L222" s="90">
        <v>996592</v>
      </c>
      <c r="M222" s="96">
        <v>73807110</v>
      </c>
      <c r="N222" s="95">
        <v>74.06</v>
      </c>
    </row>
    <row r="223" spans="1:14" ht="22.5" customHeight="1">
      <c r="A223" s="108"/>
      <c r="B223" s="93" t="s">
        <v>303</v>
      </c>
      <c r="C223" s="91">
        <v>1.7053000000000001E-4</v>
      </c>
      <c r="D223" s="90">
        <v>995430</v>
      </c>
      <c r="E223" s="98">
        <v>170</v>
      </c>
      <c r="F223" s="90">
        <v>995345</v>
      </c>
      <c r="G223" s="96">
        <v>66749783</v>
      </c>
      <c r="H223" s="95">
        <v>67.06</v>
      </c>
      <c r="I223" s="91">
        <v>1.0971E-4</v>
      </c>
      <c r="J223" s="90">
        <v>996547</v>
      </c>
      <c r="K223" s="98">
        <v>109</v>
      </c>
      <c r="L223" s="90">
        <v>996493</v>
      </c>
      <c r="M223" s="96">
        <v>72810518</v>
      </c>
      <c r="N223" s="95">
        <v>73.06</v>
      </c>
    </row>
    <row r="224" spans="1:14" ht="22.5" customHeight="1">
      <c r="A224" s="108"/>
      <c r="B224" s="93" t="s">
        <v>302</v>
      </c>
      <c r="C224" s="91">
        <v>2.0981999999999999E-4</v>
      </c>
      <c r="D224" s="90">
        <v>995260</v>
      </c>
      <c r="E224" s="98">
        <v>209</v>
      </c>
      <c r="F224" s="90">
        <v>995156</v>
      </c>
      <c r="G224" s="96">
        <v>65754438</v>
      </c>
      <c r="H224" s="95">
        <v>66.069999999999993</v>
      </c>
      <c r="I224" s="91">
        <v>1.2725E-4</v>
      </c>
      <c r="J224" s="90">
        <v>996438</v>
      </c>
      <c r="K224" s="98">
        <v>127</v>
      </c>
      <c r="L224" s="90">
        <v>996375</v>
      </c>
      <c r="M224" s="96">
        <v>71814025</v>
      </c>
      <c r="N224" s="95">
        <v>72.069999999999993</v>
      </c>
    </row>
    <row r="225" spans="1:14" ht="22.5" customHeight="1">
      <c r="A225" s="108"/>
      <c r="B225" s="93" t="s">
        <v>301</v>
      </c>
      <c r="C225" s="91">
        <v>2.4560000000000001E-4</v>
      </c>
      <c r="D225" s="90">
        <v>995051</v>
      </c>
      <c r="E225" s="98">
        <v>244</v>
      </c>
      <c r="F225" s="90">
        <v>994929</v>
      </c>
      <c r="G225" s="96">
        <v>64759282</v>
      </c>
      <c r="H225" s="95">
        <v>65.08</v>
      </c>
      <c r="I225" s="91">
        <v>1.4252000000000001E-4</v>
      </c>
      <c r="J225" s="90">
        <v>996311</v>
      </c>
      <c r="K225" s="98">
        <v>142</v>
      </c>
      <c r="L225" s="90">
        <v>996240</v>
      </c>
      <c r="M225" s="96">
        <v>70817650</v>
      </c>
      <c r="N225" s="95">
        <v>71.08</v>
      </c>
    </row>
    <row r="226" spans="1:14" ht="22.5" customHeight="1">
      <c r="A226" s="108"/>
      <c r="B226" s="93" t="s">
        <v>300</v>
      </c>
      <c r="C226" s="91">
        <v>2.7719000000000002E-4</v>
      </c>
      <c r="D226" s="90">
        <v>994807</v>
      </c>
      <c r="E226" s="98">
        <v>276</v>
      </c>
      <c r="F226" s="90">
        <v>994669</v>
      </c>
      <c r="G226" s="96">
        <v>63764353</v>
      </c>
      <c r="H226" s="95">
        <v>64.099999999999994</v>
      </c>
      <c r="I226" s="91">
        <v>1.5605999999999999E-4</v>
      </c>
      <c r="J226" s="90">
        <v>996169</v>
      </c>
      <c r="K226" s="98">
        <v>155</v>
      </c>
      <c r="L226" s="90">
        <v>996092</v>
      </c>
      <c r="M226" s="96">
        <v>69821410</v>
      </c>
      <c r="N226" s="95">
        <v>70.09</v>
      </c>
    </row>
    <row r="227" spans="1:14" ht="22.5" customHeight="1">
      <c r="A227" s="108"/>
      <c r="B227" s="93" t="s">
        <v>299</v>
      </c>
      <c r="C227" s="91">
        <v>3.0295000000000002E-4</v>
      </c>
      <c r="D227" s="90">
        <v>994531</v>
      </c>
      <c r="E227" s="98">
        <v>301</v>
      </c>
      <c r="F227" s="90">
        <v>994381</v>
      </c>
      <c r="G227" s="96">
        <v>62769684</v>
      </c>
      <c r="H227" s="95">
        <v>63.11</v>
      </c>
      <c r="I227" s="91">
        <v>1.6709E-4</v>
      </c>
      <c r="J227" s="90">
        <v>996014</v>
      </c>
      <c r="K227" s="98">
        <v>166</v>
      </c>
      <c r="L227" s="90">
        <v>995931</v>
      </c>
      <c r="M227" s="96">
        <v>68825318</v>
      </c>
      <c r="N227" s="95">
        <v>69.099999999999994</v>
      </c>
    </row>
    <row r="228" spans="1:14" ht="22.5" customHeight="1">
      <c r="A228" s="108"/>
      <c r="B228" s="93" t="s">
        <v>298</v>
      </c>
      <c r="C228" s="91">
        <v>3.2235E-4</v>
      </c>
      <c r="D228" s="90">
        <v>994230</v>
      </c>
      <c r="E228" s="98">
        <v>320</v>
      </c>
      <c r="F228" s="90">
        <v>994070</v>
      </c>
      <c r="G228" s="96">
        <v>61775303</v>
      </c>
      <c r="H228" s="95">
        <v>62.13</v>
      </c>
      <c r="I228" s="91">
        <v>1.7519000000000001E-4</v>
      </c>
      <c r="J228" s="90">
        <v>995848</v>
      </c>
      <c r="K228" s="98">
        <v>174</v>
      </c>
      <c r="L228" s="90">
        <v>995761</v>
      </c>
      <c r="M228" s="96">
        <v>67829387</v>
      </c>
      <c r="N228" s="95">
        <v>68.11</v>
      </c>
    </row>
    <row r="229" spans="1:14" ht="22.5" customHeight="1">
      <c r="A229" s="108"/>
      <c r="B229" s="93" t="s">
        <v>297</v>
      </c>
      <c r="C229" s="91">
        <v>3.3487000000000002E-4</v>
      </c>
      <c r="D229" s="90">
        <v>993910</v>
      </c>
      <c r="E229" s="98">
        <v>333</v>
      </c>
      <c r="F229" s="90">
        <v>993744</v>
      </c>
      <c r="G229" s="96">
        <v>60781233</v>
      </c>
      <c r="H229" s="95">
        <v>61.15</v>
      </c>
      <c r="I229" s="91">
        <v>1.7953000000000001E-4</v>
      </c>
      <c r="J229" s="90">
        <v>995674</v>
      </c>
      <c r="K229" s="98">
        <v>179</v>
      </c>
      <c r="L229" s="90">
        <v>995585</v>
      </c>
      <c r="M229" s="96">
        <v>66833626</v>
      </c>
      <c r="N229" s="95">
        <v>67.12</v>
      </c>
    </row>
    <row r="230" spans="1:14" ht="22.5" customHeight="1">
      <c r="A230" s="108"/>
      <c r="B230" s="93" t="s">
        <v>296</v>
      </c>
      <c r="C230" s="91">
        <v>3.4207999999999998E-4</v>
      </c>
      <c r="D230" s="90">
        <v>993577</v>
      </c>
      <c r="E230" s="98">
        <v>340</v>
      </c>
      <c r="F230" s="90">
        <v>993407</v>
      </c>
      <c r="G230" s="96">
        <v>59787489</v>
      </c>
      <c r="H230" s="95">
        <v>60.17</v>
      </c>
      <c r="I230" s="91">
        <v>1.8039999999999999E-4</v>
      </c>
      <c r="J230" s="90">
        <v>995495</v>
      </c>
      <c r="K230" s="98">
        <v>180</v>
      </c>
      <c r="L230" s="90">
        <v>995405</v>
      </c>
      <c r="M230" s="96">
        <v>65838041</v>
      </c>
      <c r="N230" s="95">
        <v>66.14</v>
      </c>
    </row>
    <row r="231" spans="1:14" ht="22.5" customHeight="1">
      <c r="A231" s="108"/>
      <c r="B231" s="93" t="s">
        <v>295</v>
      </c>
      <c r="C231" s="91">
        <v>3.4766000000000002E-4</v>
      </c>
      <c r="D231" s="90">
        <v>993237</v>
      </c>
      <c r="E231" s="98">
        <v>345</v>
      </c>
      <c r="F231" s="90">
        <v>993065</v>
      </c>
      <c r="G231" s="96">
        <v>58794082</v>
      </c>
      <c r="H231" s="95">
        <v>59.19</v>
      </c>
      <c r="I231" s="91">
        <v>1.7924999999999999E-4</v>
      </c>
      <c r="J231" s="90">
        <v>995315</v>
      </c>
      <c r="K231" s="98">
        <v>178</v>
      </c>
      <c r="L231" s="90">
        <v>995226</v>
      </c>
      <c r="M231" s="96">
        <v>64842636</v>
      </c>
      <c r="N231" s="95">
        <v>65.150000000000006</v>
      </c>
    </row>
    <row r="232" spans="1:14" ht="22.5" customHeight="1">
      <c r="A232" s="108"/>
      <c r="B232" s="93" t="s">
        <v>294</v>
      </c>
      <c r="C232" s="91">
        <v>3.5343000000000001E-4</v>
      </c>
      <c r="D232" s="90">
        <v>992892</v>
      </c>
      <c r="E232" s="98">
        <v>351</v>
      </c>
      <c r="F232" s="90">
        <v>992717</v>
      </c>
      <c r="G232" s="96">
        <v>57801017</v>
      </c>
      <c r="H232" s="95">
        <v>58.21</v>
      </c>
      <c r="I232" s="91">
        <v>1.7693E-4</v>
      </c>
      <c r="J232" s="90">
        <v>995137</v>
      </c>
      <c r="K232" s="98">
        <v>176</v>
      </c>
      <c r="L232" s="90">
        <v>995049</v>
      </c>
      <c r="M232" s="96">
        <v>63847410</v>
      </c>
      <c r="N232" s="95">
        <v>64.16</v>
      </c>
    </row>
    <row r="233" spans="1:14" ht="22.5" customHeight="1">
      <c r="A233" s="108"/>
      <c r="B233" s="93" t="s">
        <v>293</v>
      </c>
      <c r="C233" s="91">
        <v>3.6125000000000003E-4</v>
      </c>
      <c r="D233" s="90">
        <v>992541</v>
      </c>
      <c r="E233" s="98">
        <v>359</v>
      </c>
      <c r="F233" s="90">
        <v>992362</v>
      </c>
      <c r="G233" s="96">
        <v>56808300</v>
      </c>
      <c r="H233" s="95">
        <v>57.24</v>
      </c>
      <c r="I233" s="91">
        <v>1.7453E-4</v>
      </c>
      <c r="J233" s="90">
        <v>994961</v>
      </c>
      <c r="K233" s="98">
        <v>174</v>
      </c>
      <c r="L233" s="90">
        <v>994874</v>
      </c>
      <c r="M233" s="96">
        <v>62852361</v>
      </c>
      <c r="N233" s="95">
        <v>63.17</v>
      </c>
    </row>
    <row r="234" spans="1:14" ht="22.5" customHeight="1">
      <c r="A234" s="108"/>
      <c r="B234" s="93" t="s">
        <v>292</v>
      </c>
      <c r="C234" s="91">
        <v>3.7449E-4</v>
      </c>
      <c r="D234" s="90">
        <v>992182</v>
      </c>
      <c r="E234" s="98">
        <v>372</v>
      </c>
      <c r="F234" s="90">
        <v>991996</v>
      </c>
      <c r="G234" s="96">
        <v>55815938</v>
      </c>
      <c r="H234" s="95">
        <v>56.26</v>
      </c>
      <c r="I234" s="91">
        <v>1.7379E-4</v>
      </c>
      <c r="J234" s="90">
        <v>994787</v>
      </c>
      <c r="K234" s="98">
        <v>173</v>
      </c>
      <c r="L234" s="90">
        <v>994701</v>
      </c>
      <c r="M234" s="96">
        <v>61857487</v>
      </c>
      <c r="N234" s="95">
        <v>62.18</v>
      </c>
    </row>
    <row r="235" spans="1:14" ht="22.5" customHeight="1">
      <c r="A235" s="108"/>
      <c r="B235" s="93" t="s">
        <v>291</v>
      </c>
      <c r="C235" s="91">
        <v>3.9477000000000002E-4</v>
      </c>
      <c r="D235" s="90">
        <v>991810</v>
      </c>
      <c r="E235" s="98">
        <v>392</v>
      </c>
      <c r="F235" s="90">
        <v>991614</v>
      </c>
      <c r="G235" s="96">
        <v>54823942</v>
      </c>
      <c r="H235" s="95">
        <v>55.28</v>
      </c>
      <c r="I235" s="91">
        <v>1.7592000000000001E-4</v>
      </c>
      <c r="J235" s="90">
        <v>994614</v>
      </c>
      <c r="K235" s="98">
        <v>175</v>
      </c>
      <c r="L235" s="90">
        <v>994527</v>
      </c>
      <c r="M235" s="96">
        <v>60862786</v>
      </c>
      <c r="N235" s="95">
        <v>61.19</v>
      </c>
    </row>
    <row r="236" spans="1:14" ht="22.5" customHeight="1">
      <c r="A236" s="108"/>
      <c r="B236" s="93" t="s">
        <v>290</v>
      </c>
      <c r="C236" s="91">
        <v>4.2192E-4</v>
      </c>
      <c r="D236" s="90">
        <v>991418</v>
      </c>
      <c r="E236" s="98">
        <v>418</v>
      </c>
      <c r="F236" s="90">
        <v>991209</v>
      </c>
      <c r="G236" s="96">
        <v>53832328</v>
      </c>
      <c r="H236" s="95">
        <v>54.3</v>
      </c>
      <c r="I236" s="91">
        <v>1.8163000000000001E-4</v>
      </c>
      <c r="J236" s="90">
        <v>994439</v>
      </c>
      <c r="K236" s="98">
        <v>181</v>
      </c>
      <c r="L236" s="90">
        <v>994349</v>
      </c>
      <c r="M236" s="96">
        <v>59868259</v>
      </c>
      <c r="N236" s="95">
        <v>60.2</v>
      </c>
    </row>
    <row r="237" spans="1:14" ht="22.5" customHeight="1">
      <c r="A237" s="108"/>
      <c r="B237" s="93" t="s">
        <v>289</v>
      </c>
      <c r="C237" s="91">
        <v>4.5585999999999999E-4</v>
      </c>
      <c r="D237" s="90">
        <v>991000</v>
      </c>
      <c r="E237" s="98">
        <v>452</v>
      </c>
      <c r="F237" s="90">
        <v>990774</v>
      </c>
      <c r="G237" s="96">
        <v>52841119</v>
      </c>
      <c r="H237" s="95">
        <v>53.32</v>
      </c>
      <c r="I237" s="91">
        <v>1.9144E-4</v>
      </c>
      <c r="J237" s="90">
        <v>994258</v>
      </c>
      <c r="K237" s="98">
        <v>190</v>
      </c>
      <c r="L237" s="90">
        <v>994163</v>
      </c>
      <c r="M237" s="96">
        <v>58873910</v>
      </c>
      <c r="N237" s="95">
        <v>59.21</v>
      </c>
    </row>
    <row r="238" spans="1:14" ht="22.5" customHeight="1">
      <c r="A238" s="108"/>
      <c r="B238" s="93" t="s">
        <v>288</v>
      </c>
      <c r="C238" s="91">
        <v>4.9547000000000002E-4</v>
      </c>
      <c r="D238" s="90">
        <v>990548</v>
      </c>
      <c r="E238" s="98">
        <v>491</v>
      </c>
      <c r="F238" s="90">
        <v>990303</v>
      </c>
      <c r="G238" s="96">
        <v>51850345</v>
      </c>
      <c r="H238" s="95">
        <v>52.35</v>
      </c>
      <c r="I238" s="91">
        <v>2.0539000000000001E-4</v>
      </c>
      <c r="J238" s="90">
        <v>994068</v>
      </c>
      <c r="K238" s="98">
        <v>204</v>
      </c>
      <c r="L238" s="90">
        <v>993966</v>
      </c>
      <c r="M238" s="96">
        <v>57879747</v>
      </c>
      <c r="N238" s="95">
        <v>58.23</v>
      </c>
    </row>
    <row r="239" spans="1:14" ht="22.5" customHeight="1">
      <c r="A239" s="108"/>
      <c r="B239" s="93" t="s">
        <v>287</v>
      </c>
      <c r="C239" s="91">
        <v>5.3459999999999998E-4</v>
      </c>
      <c r="D239" s="90">
        <v>990057</v>
      </c>
      <c r="E239" s="98">
        <v>529</v>
      </c>
      <c r="F239" s="90">
        <v>989793</v>
      </c>
      <c r="G239" s="96">
        <v>50860042</v>
      </c>
      <c r="H239" s="95">
        <v>51.37</v>
      </c>
      <c r="I239" s="91">
        <v>2.2238999999999999E-4</v>
      </c>
      <c r="J239" s="90">
        <v>993864</v>
      </c>
      <c r="K239" s="98">
        <v>221</v>
      </c>
      <c r="L239" s="90">
        <v>993754</v>
      </c>
      <c r="M239" s="96">
        <v>56885781</v>
      </c>
      <c r="N239" s="95">
        <v>57.24</v>
      </c>
    </row>
    <row r="240" spans="1:14" ht="22.5" customHeight="1">
      <c r="A240" s="108"/>
      <c r="B240" s="93" t="s">
        <v>286</v>
      </c>
      <c r="C240" s="91">
        <v>5.6937999999999997E-4</v>
      </c>
      <c r="D240" s="90">
        <v>989528</v>
      </c>
      <c r="E240" s="98">
        <v>563</v>
      </c>
      <c r="F240" s="90">
        <v>989247</v>
      </c>
      <c r="G240" s="96">
        <v>49870249</v>
      </c>
      <c r="H240" s="95">
        <v>50.4</v>
      </c>
      <c r="I240" s="91">
        <v>2.4126E-4</v>
      </c>
      <c r="J240" s="90">
        <v>993643</v>
      </c>
      <c r="K240" s="98">
        <v>240</v>
      </c>
      <c r="L240" s="90">
        <v>993523</v>
      </c>
      <c r="M240" s="96">
        <v>55892027</v>
      </c>
      <c r="N240" s="95">
        <v>56.25</v>
      </c>
    </row>
    <row r="241" spans="1:14" ht="22.5" customHeight="1">
      <c r="A241" s="108"/>
      <c r="B241" s="93" t="s">
        <v>285</v>
      </c>
      <c r="C241" s="91">
        <v>5.9818999999999996E-4</v>
      </c>
      <c r="D241" s="90">
        <v>988965</v>
      </c>
      <c r="E241" s="98">
        <v>592</v>
      </c>
      <c r="F241" s="90">
        <v>988669</v>
      </c>
      <c r="G241" s="96">
        <v>48881002</v>
      </c>
      <c r="H241" s="95">
        <v>49.43</v>
      </c>
      <c r="I241" s="91">
        <v>2.6072999999999998E-4</v>
      </c>
      <c r="J241" s="90">
        <v>993403</v>
      </c>
      <c r="K241" s="98">
        <v>259</v>
      </c>
      <c r="L241" s="90">
        <v>993274</v>
      </c>
      <c r="M241" s="96">
        <v>54898504</v>
      </c>
      <c r="N241" s="95">
        <v>55.26</v>
      </c>
    </row>
    <row r="242" spans="1:14" ht="22.5" customHeight="1">
      <c r="A242" s="108"/>
      <c r="B242" s="93" t="s">
        <v>284</v>
      </c>
      <c r="C242" s="91">
        <v>6.2239000000000001E-4</v>
      </c>
      <c r="D242" s="90">
        <v>988373</v>
      </c>
      <c r="E242" s="98">
        <v>615</v>
      </c>
      <c r="F242" s="90">
        <v>988066</v>
      </c>
      <c r="G242" s="96">
        <v>47892333</v>
      </c>
      <c r="H242" s="95">
        <v>48.46</v>
      </c>
      <c r="I242" s="91">
        <v>2.8071999999999998E-4</v>
      </c>
      <c r="J242" s="90">
        <v>993144</v>
      </c>
      <c r="K242" s="98">
        <v>279</v>
      </c>
      <c r="L242" s="90">
        <v>993005</v>
      </c>
      <c r="M242" s="96">
        <v>53905230</v>
      </c>
      <c r="N242" s="95">
        <v>54.28</v>
      </c>
    </row>
    <row r="243" spans="1:14" ht="22.5" customHeight="1">
      <c r="A243" s="108"/>
      <c r="B243" s="93" t="s">
        <v>283</v>
      </c>
      <c r="C243" s="91">
        <v>6.4563999999999995E-4</v>
      </c>
      <c r="D243" s="90">
        <v>987758</v>
      </c>
      <c r="E243" s="98">
        <v>638</v>
      </c>
      <c r="F243" s="90">
        <v>987439</v>
      </c>
      <c r="G243" s="96">
        <v>46904267</v>
      </c>
      <c r="H243" s="95">
        <v>47.49</v>
      </c>
      <c r="I243" s="91">
        <v>3.0160000000000001E-4</v>
      </c>
      <c r="J243" s="90">
        <v>992865</v>
      </c>
      <c r="K243" s="98">
        <v>299</v>
      </c>
      <c r="L243" s="90">
        <v>992716</v>
      </c>
      <c r="M243" s="96">
        <v>52912225</v>
      </c>
      <c r="N243" s="95">
        <v>53.29</v>
      </c>
    </row>
    <row r="244" spans="1:14" ht="22.5" customHeight="1">
      <c r="A244" s="108"/>
      <c r="B244" s="93" t="s">
        <v>282</v>
      </c>
      <c r="C244" s="91">
        <v>6.7741999999999998E-4</v>
      </c>
      <c r="D244" s="90">
        <v>987120</v>
      </c>
      <c r="E244" s="98">
        <v>669</v>
      </c>
      <c r="F244" s="90">
        <v>986786</v>
      </c>
      <c r="G244" s="96">
        <v>45916828</v>
      </c>
      <c r="H244" s="95">
        <v>46.52</v>
      </c>
      <c r="I244" s="91">
        <v>3.2328000000000001E-4</v>
      </c>
      <c r="J244" s="90">
        <v>992566</v>
      </c>
      <c r="K244" s="98">
        <v>321</v>
      </c>
      <c r="L244" s="90">
        <v>992406</v>
      </c>
      <c r="M244" s="96">
        <v>51919509</v>
      </c>
      <c r="N244" s="95">
        <v>52.31</v>
      </c>
    </row>
    <row r="245" spans="1:14" ht="22.5" customHeight="1">
      <c r="A245" s="108"/>
      <c r="B245" s="93" t="s">
        <v>281</v>
      </c>
      <c r="C245" s="91">
        <v>7.2544000000000005E-4</v>
      </c>
      <c r="D245" s="90">
        <v>986451</v>
      </c>
      <c r="E245" s="98">
        <v>716</v>
      </c>
      <c r="F245" s="90">
        <v>986093</v>
      </c>
      <c r="G245" s="96">
        <v>44930042</v>
      </c>
      <c r="H245" s="95">
        <v>45.55</v>
      </c>
      <c r="I245" s="91">
        <v>3.4661000000000002E-4</v>
      </c>
      <c r="J245" s="90">
        <v>992245</v>
      </c>
      <c r="K245" s="98">
        <v>344</v>
      </c>
      <c r="L245" s="90">
        <v>992073</v>
      </c>
      <c r="M245" s="96">
        <v>50927103</v>
      </c>
      <c r="N245" s="95">
        <v>51.33</v>
      </c>
    </row>
    <row r="246" spans="1:14" ht="22.5" customHeight="1">
      <c r="A246" s="108"/>
      <c r="B246" s="93" t="s">
        <v>280</v>
      </c>
      <c r="C246" s="91">
        <v>7.9558000000000005E-4</v>
      </c>
      <c r="D246" s="90">
        <v>985735</v>
      </c>
      <c r="E246" s="98">
        <v>784</v>
      </c>
      <c r="F246" s="90">
        <v>985343</v>
      </c>
      <c r="G246" s="96">
        <v>43943949</v>
      </c>
      <c r="H246" s="95">
        <v>44.58</v>
      </c>
      <c r="I246" s="91">
        <v>3.7334E-4</v>
      </c>
      <c r="J246" s="90">
        <v>991901</v>
      </c>
      <c r="K246" s="98">
        <v>370</v>
      </c>
      <c r="L246" s="90">
        <v>991716</v>
      </c>
      <c r="M246" s="96">
        <v>49935030</v>
      </c>
      <c r="N246" s="95">
        <v>50.34</v>
      </c>
    </row>
    <row r="247" spans="1:14" ht="22.5" customHeight="1">
      <c r="A247" s="108"/>
      <c r="B247" s="93" t="s">
        <v>279</v>
      </c>
      <c r="C247" s="91">
        <v>8.8948E-4</v>
      </c>
      <c r="D247" s="90">
        <v>984951</v>
      </c>
      <c r="E247" s="98">
        <v>876</v>
      </c>
      <c r="F247" s="90">
        <v>984513</v>
      </c>
      <c r="G247" s="96">
        <v>42958606</v>
      </c>
      <c r="H247" s="95">
        <v>43.61</v>
      </c>
      <c r="I247" s="91">
        <v>4.0486999999999999E-4</v>
      </c>
      <c r="J247" s="90">
        <v>991531</v>
      </c>
      <c r="K247" s="98">
        <v>401</v>
      </c>
      <c r="L247" s="90">
        <v>991331</v>
      </c>
      <c r="M247" s="96">
        <v>48943314</v>
      </c>
      <c r="N247" s="95">
        <v>49.36</v>
      </c>
    </row>
    <row r="248" spans="1:14" ht="22.5" customHeight="1">
      <c r="A248" s="108"/>
      <c r="B248" s="93" t="s">
        <v>278</v>
      </c>
      <c r="C248" s="91">
        <v>1.00552E-3</v>
      </c>
      <c r="D248" s="90">
        <v>984075</v>
      </c>
      <c r="E248" s="98">
        <v>990</v>
      </c>
      <c r="F248" s="90">
        <v>983580</v>
      </c>
      <c r="G248" s="96">
        <v>41974093</v>
      </c>
      <c r="H248" s="95">
        <v>42.65</v>
      </c>
      <c r="I248" s="91">
        <v>4.4264E-4</v>
      </c>
      <c r="J248" s="90">
        <v>991130</v>
      </c>
      <c r="K248" s="98">
        <v>439</v>
      </c>
      <c r="L248" s="90">
        <v>990911</v>
      </c>
      <c r="M248" s="96">
        <v>47951983</v>
      </c>
      <c r="N248" s="95">
        <v>48.38</v>
      </c>
    </row>
    <row r="249" spans="1:14" ht="22.5" customHeight="1">
      <c r="A249" s="108"/>
      <c r="B249" s="93" t="s">
        <v>277</v>
      </c>
      <c r="C249" s="91">
        <v>1.1326400000000001E-3</v>
      </c>
      <c r="D249" s="90">
        <v>983085</v>
      </c>
      <c r="E249" s="97">
        <v>1113</v>
      </c>
      <c r="F249" s="90">
        <v>982529</v>
      </c>
      <c r="G249" s="96">
        <v>40990513</v>
      </c>
      <c r="H249" s="95">
        <v>41.7</v>
      </c>
      <c r="I249" s="91">
        <v>4.8795000000000002E-4</v>
      </c>
      <c r="J249" s="90">
        <v>990691</v>
      </c>
      <c r="K249" s="98">
        <v>483</v>
      </c>
      <c r="L249" s="90">
        <v>990450</v>
      </c>
      <c r="M249" s="96">
        <v>46961072</v>
      </c>
      <c r="N249" s="95">
        <v>47.4</v>
      </c>
    </row>
    <row r="250" spans="1:14" ht="22.5" customHeight="1">
      <c r="A250" s="108"/>
      <c r="B250" s="93" t="s">
        <v>276</v>
      </c>
      <c r="C250" s="91">
        <v>1.2615899999999999E-3</v>
      </c>
      <c r="D250" s="90">
        <v>981972</v>
      </c>
      <c r="E250" s="97">
        <v>1239</v>
      </c>
      <c r="F250" s="90">
        <v>981353</v>
      </c>
      <c r="G250" s="96">
        <v>40007984</v>
      </c>
      <c r="H250" s="95">
        <v>40.74</v>
      </c>
      <c r="I250" s="91">
        <v>5.4169000000000005E-4</v>
      </c>
      <c r="J250" s="90">
        <v>990208</v>
      </c>
      <c r="K250" s="98">
        <v>536</v>
      </c>
      <c r="L250" s="90">
        <v>989940</v>
      </c>
      <c r="M250" s="96">
        <v>45970622</v>
      </c>
      <c r="N250" s="95">
        <v>46.43</v>
      </c>
    </row>
    <row r="251" spans="1:14" ht="22.5" customHeight="1">
      <c r="A251" s="108"/>
      <c r="B251" s="93" t="s">
        <v>275</v>
      </c>
      <c r="C251" s="91">
        <v>1.3848599999999999E-3</v>
      </c>
      <c r="D251" s="90">
        <v>980733</v>
      </c>
      <c r="E251" s="97">
        <v>1358</v>
      </c>
      <c r="F251" s="90">
        <v>980054</v>
      </c>
      <c r="G251" s="96">
        <v>39026631</v>
      </c>
      <c r="H251" s="95">
        <v>39.79</v>
      </c>
      <c r="I251" s="91">
        <v>6.0433000000000004E-4</v>
      </c>
      <c r="J251" s="90">
        <v>989672</v>
      </c>
      <c r="K251" s="98">
        <v>598</v>
      </c>
      <c r="L251" s="90">
        <v>989373</v>
      </c>
      <c r="M251" s="96">
        <v>44980682</v>
      </c>
      <c r="N251" s="95">
        <v>45.45</v>
      </c>
    </row>
    <row r="252" spans="1:14" ht="22.5" customHeight="1">
      <c r="A252" s="108"/>
      <c r="B252" s="93" t="s">
        <v>274</v>
      </c>
      <c r="C252" s="91">
        <v>1.50282E-3</v>
      </c>
      <c r="D252" s="90">
        <v>979375</v>
      </c>
      <c r="E252" s="97">
        <v>1472</v>
      </c>
      <c r="F252" s="90">
        <v>978639</v>
      </c>
      <c r="G252" s="96">
        <v>38046577</v>
      </c>
      <c r="H252" s="95">
        <v>38.85</v>
      </c>
      <c r="I252" s="91">
        <v>6.7685E-4</v>
      </c>
      <c r="J252" s="90">
        <v>989074</v>
      </c>
      <c r="K252" s="98">
        <v>669</v>
      </c>
      <c r="L252" s="90">
        <v>988740</v>
      </c>
      <c r="M252" s="96">
        <v>43991309</v>
      </c>
      <c r="N252" s="95">
        <v>44.48</v>
      </c>
    </row>
    <row r="253" spans="1:14" ht="22.5" customHeight="1">
      <c r="A253" s="108"/>
      <c r="B253" s="93" t="s">
        <v>273</v>
      </c>
      <c r="C253" s="91">
        <v>1.62006E-3</v>
      </c>
      <c r="D253" s="90">
        <v>977903</v>
      </c>
      <c r="E253" s="97">
        <v>1584</v>
      </c>
      <c r="F253" s="90">
        <v>977111</v>
      </c>
      <c r="G253" s="96">
        <v>37067938</v>
      </c>
      <c r="H253" s="95">
        <v>37.909999999999997</v>
      </c>
      <c r="I253" s="91">
        <v>7.5991999999999997E-4</v>
      </c>
      <c r="J253" s="90">
        <v>988405</v>
      </c>
      <c r="K253" s="98">
        <v>751</v>
      </c>
      <c r="L253" s="90">
        <v>988030</v>
      </c>
      <c r="M253" s="96">
        <v>43002569</v>
      </c>
      <c r="N253" s="95">
        <v>43.51</v>
      </c>
    </row>
    <row r="254" spans="1:14" ht="22.5" customHeight="1">
      <c r="A254" s="108"/>
      <c r="B254" s="93" t="s">
        <v>272</v>
      </c>
      <c r="C254" s="91">
        <v>1.74902E-3</v>
      </c>
      <c r="D254" s="90">
        <v>976319</v>
      </c>
      <c r="E254" s="97">
        <v>1708</v>
      </c>
      <c r="F254" s="90">
        <v>975465</v>
      </c>
      <c r="G254" s="96">
        <v>36090827</v>
      </c>
      <c r="H254" s="95">
        <v>36.97</v>
      </c>
      <c r="I254" s="91">
        <v>8.5422999999999998E-4</v>
      </c>
      <c r="J254" s="90">
        <v>987654</v>
      </c>
      <c r="K254" s="98">
        <v>844</v>
      </c>
      <c r="L254" s="90">
        <v>987232</v>
      </c>
      <c r="M254" s="96">
        <v>42014539</v>
      </c>
      <c r="N254" s="95">
        <v>42.54</v>
      </c>
    </row>
    <row r="255" spans="1:14" ht="22.5" customHeight="1">
      <c r="A255" s="108"/>
      <c r="B255" s="93" t="s">
        <v>271</v>
      </c>
      <c r="C255" s="91">
        <v>1.9018399999999999E-3</v>
      </c>
      <c r="D255" s="90">
        <v>974611</v>
      </c>
      <c r="E255" s="97">
        <v>1854</v>
      </c>
      <c r="F255" s="90">
        <v>973684</v>
      </c>
      <c r="G255" s="96">
        <v>35115362</v>
      </c>
      <c r="H255" s="95">
        <v>36.03</v>
      </c>
      <c r="I255" s="91">
        <v>9.5971000000000001E-4</v>
      </c>
      <c r="J255" s="90">
        <v>986810</v>
      </c>
      <c r="K255" s="98">
        <v>947</v>
      </c>
      <c r="L255" s="90">
        <v>986337</v>
      </c>
      <c r="M255" s="96">
        <v>41027307</v>
      </c>
      <c r="N255" s="95">
        <v>41.58</v>
      </c>
    </row>
    <row r="256" spans="1:14" ht="22.5" customHeight="1">
      <c r="A256" s="108"/>
      <c r="B256" s="93" t="s">
        <v>270</v>
      </c>
      <c r="C256" s="91">
        <v>2.0903900000000001E-3</v>
      </c>
      <c r="D256" s="90">
        <v>972757</v>
      </c>
      <c r="E256" s="97">
        <v>2033</v>
      </c>
      <c r="F256" s="90">
        <v>971741</v>
      </c>
      <c r="G256" s="96">
        <v>34141678</v>
      </c>
      <c r="H256" s="95">
        <v>35.1</v>
      </c>
      <c r="I256" s="91">
        <v>1.0755199999999999E-3</v>
      </c>
      <c r="J256" s="90">
        <v>985863</v>
      </c>
      <c r="K256" s="97">
        <v>1060</v>
      </c>
      <c r="L256" s="90">
        <v>985333</v>
      </c>
      <c r="M256" s="96">
        <v>40040970</v>
      </c>
      <c r="N256" s="95">
        <v>40.619999999999997</v>
      </c>
    </row>
    <row r="257" spans="1:14" ht="22.5" customHeight="1">
      <c r="A257" s="108"/>
      <c r="B257" s="93" t="s">
        <v>269</v>
      </c>
      <c r="C257" s="91">
        <v>2.3189199999999999E-3</v>
      </c>
      <c r="D257" s="90">
        <v>970724</v>
      </c>
      <c r="E257" s="97">
        <v>2251</v>
      </c>
      <c r="F257" s="90">
        <v>969599</v>
      </c>
      <c r="G257" s="96">
        <v>33169937</v>
      </c>
      <c r="H257" s="95">
        <v>34.17</v>
      </c>
      <c r="I257" s="91">
        <v>1.2014899999999999E-3</v>
      </c>
      <c r="J257" s="90">
        <v>984803</v>
      </c>
      <c r="K257" s="97">
        <v>1183</v>
      </c>
      <c r="L257" s="90">
        <v>984212</v>
      </c>
      <c r="M257" s="96">
        <v>39055637</v>
      </c>
      <c r="N257" s="95">
        <v>39.659999999999997</v>
      </c>
    </row>
    <row r="258" spans="1:14" ht="22.5" customHeight="1">
      <c r="A258" s="108"/>
      <c r="B258" s="93" t="s">
        <v>268</v>
      </c>
      <c r="C258" s="91">
        <v>2.5873099999999998E-3</v>
      </c>
      <c r="D258" s="90">
        <v>968473</v>
      </c>
      <c r="E258" s="97">
        <v>2506</v>
      </c>
      <c r="F258" s="90">
        <v>967220</v>
      </c>
      <c r="G258" s="96">
        <v>32200338</v>
      </c>
      <c r="H258" s="95">
        <v>33.25</v>
      </c>
      <c r="I258" s="91">
        <v>1.3373300000000001E-3</v>
      </c>
      <c r="J258" s="90">
        <v>983620</v>
      </c>
      <c r="K258" s="97">
        <v>1315</v>
      </c>
      <c r="L258" s="90">
        <v>982963</v>
      </c>
      <c r="M258" s="96">
        <v>38071425</v>
      </c>
      <c r="N258" s="95">
        <v>38.71</v>
      </c>
    </row>
    <row r="259" spans="1:14" ht="22.5" customHeight="1">
      <c r="A259" s="108"/>
      <c r="B259" s="93" t="s">
        <v>267</v>
      </c>
      <c r="C259" s="91">
        <v>2.8854000000000002E-3</v>
      </c>
      <c r="D259" s="90">
        <v>965967</v>
      </c>
      <c r="E259" s="97">
        <v>2787</v>
      </c>
      <c r="F259" s="90">
        <v>964574</v>
      </c>
      <c r="G259" s="96">
        <v>31233118</v>
      </c>
      <c r="H259" s="95">
        <v>32.33</v>
      </c>
      <c r="I259" s="91">
        <v>1.48215E-3</v>
      </c>
      <c r="J259" s="90">
        <v>982305</v>
      </c>
      <c r="K259" s="97">
        <v>1456</v>
      </c>
      <c r="L259" s="90">
        <v>981577</v>
      </c>
      <c r="M259" s="96">
        <v>37088462</v>
      </c>
      <c r="N259" s="95">
        <v>37.76</v>
      </c>
    </row>
    <row r="260" spans="1:14" ht="22.5" customHeight="1">
      <c r="A260" s="108"/>
      <c r="B260" s="93" t="s">
        <v>266</v>
      </c>
      <c r="C260" s="91">
        <v>3.2027499999999999E-3</v>
      </c>
      <c r="D260" s="90">
        <v>963180</v>
      </c>
      <c r="E260" s="97">
        <v>3085</v>
      </c>
      <c r="F260" s="90">
        <v>961638</v>
      </c>
      <c r="G260" s="96">
        <v>30268544</v>
      </c>
      <c r="H260" s="95">
        <v>31.43</v>
      </c>
      <c r="I260" s="91">
        <v>1.6353800000000001E-3</v>
      </c>
      <c r="J260" s="90">
        <v>980849</v>
      </c>
      <c r="K260" s="97">
        <v>1604</v>
      </c>
      <c r="L260" s="90">
        <v>980047</v>
      </c>
      <c r="M260" s="96">
        <v>36106885</v>
      </c>
      <c r="N260" s="95">
        <v>36.81</v>
      </c>
    </row>
    <row r="261" spans="1:14" ht="22.5" customHeight="1">
      <c r="A261" s="108"/>
      <c r="B261" s="93" t="s">
        <v>265</v>
      </c>
      <c r="C261" s="91">
        <v>3.5285400000000001E-3</v>
      </c>
      <c r="D261" s="90">
        <v>960095</v>
      </c>
      <c r="E261" s="97">
        <v>3388</v>
      </c>
      <c r="F261" s="90">
        <v>958401</v>
      </c>
      <c r="G261" s="96">
        <v>29306906</v>
      </c>
      <c r="H261" s="95">
        <v>30.53</v>
      </c>
      <c r="I261" s="91">
        <v>1.79674E-3</v>
      </c>
      <c r="J261" s="90">
        <v>979245</v>
      </c>
      <c r="K261" s="97">
        <v>1759</v>
      </c>
      <c r="L261" s="90">
        <v>978366</v>
      </c>
      <c r="M261" s="96">
        <v>35126838</v>
      </c>
      <c r="N261" s="95">
        <v>35.869999999999997</v>
      </c>
    </row>
    <row r="262" spans="1:14" ht="22.5" customHeight="1">
      <c r="A262" s="108"/>
      <c r="B262" s="93" t="s">
        <v>264</v>
      </c>
      <c r="C262" s="91">
        <v>3.86229E-3</v>
      </c>
      <c r="D262" s="90">
        <v>956707</v>
      </c>
      <c r="E262" s="97">
        <v>3695</v>
      </c>
      <c r="F262" s="90">
        <v>954860</v>
      </c>
      <c r="G262" s="96">
        <v>28348505</v>
      </c>
      <c r="H262" s="95">
        <v>29.63</v>
      </c>
      <c r="I262" s="91">
        <v>1.9662600000000001E-3</v>
      </c>
      <c r="J262" s="90">
        <v>977486</v>
      </c>
      <c r="K262" s="97">
        <v>1922</v>
      </c>
      <c r="L262" s="90">
        <v>976525</v>
      </c>
      <c r="M262" s="96">
        <v>34148472</v>
      </c>
      <c r="N262" s="95">
        <v>34.93</v>
      </c>
    </row>
    <row r="263" spans="1:14" ht="22.5" customHeight="1">
      <c r="A263" s="108"/>
      <c r="B263" s="93" t="s">
        <v>263</v>
      </c>
      <c r="C263" s="91">
        <v>4.2077E-3</v>
      </c>
      <c r="D263" s="90">
        <v>953012</v>
      </c>
      <c r="E263" s="97">
        <v>4010</v>
      </c>
      <c r="F263" s="90">
        <v>951007</v>
      </c>
      <c r="G263" s="96">
        <v>27393645</v>
      </c>
      <c r="H263" s="95">
        <v>28.74</v>
      </c>
      <c r="I263" s="91">
        <v>2.1442800000000001E-3</v>
      </c>
      <c r="J263" s="90">
        <v>975564</v>
      </c>
      <c r="K263" s="97">
        <v>2092</v>
      </c>
      <c r="L263" s="90">
        <v>974518</v>
      </c>
      <c r="M263" s="96">
        <v>33171947</v>
      </c>
      <c r="N263" s="95">
        <v>34</v>
      </c>
    </row>
    <row r="264" spans="1:14" ht="22.5" customHeight="1">
      <c r="A264" s="108"/>
      <c r="B264" s="93" t="s">
        <v>262</v>
      </c>
      <c r="C264" s="91">
        <v>4.56859E-3</v>
      </c>
      <c r="D264" s="90">
        <v>949002</v>
      </c>
      <c r="E264" s="97">
        <v>4336</v>
      </c>
      <c r="F264" s="90">
        <v>946834</v>
      </c>
      <c r="G264" s="96">
        <v>26442638</v>
      </c>
      <c r="H264" s="95">
        <v>27.86</v>
      </c>
      <c r="I264" s="91">
        <v>2.3290300000000002E-3</v>
      </c>
      <c r="J264" s="90">
        <v>973472</v>
      </c>
      <c r="K264" s="97">
        <v>2267</v>
      </c>
      <c r="L264" s="90">
        <v>972339</v>
      </c>
      <c r="M264" s="96">
        <v>32197429</v>
      </c>
      <c r="N264" s="95">
        <v>33.07</v>
      </c>
    </row>
    <row r="265" spans="1:14" ht="22.5" customHeight="1">
      <c r="A265" s="108"/>
      <c r="B265" s="93" t="s">
        <v>261</v>
      </c>
      <c r="C265" s="91">
        <v>4.9541200000000002E-3</v>
      </c>
      <c r="D265" s="90">
        <v>944666</v>
      </c>
      <c r="E265" s="97">
        <v>4680</v>
      </c>
      <c r="F265" s="90">
        <v>942326</v>
      </c>
      <c r="G265" s="96">
        <v>25495804</v>
      </c>
      <c r="H265" s="95">
        <v>26.99</v>
      </c>
      <c r="I265" s="91">
        <v>2.5205399999999999E-3</v>
      </c>
      <c r="J265" s="90">
        <v>971205</v>
      </c>
      <c r="K265" s="97">
        <v>2448</v>
      </c>
      <c r="L265" s="90">
        <v>969981</v>
      </c>
      <c r="M265" s="96">
        <v>31225090</v>
      </c>
      <c r="N265" s="95">
        <v>32.15</v>
      </c>
    </row>
    <row r="266" spans="1:14" ht="22.5" customHeight="1">
      <c r="A266" s="108"/>
      <c r="B266" s="93" t="s">
        <v>260</v>
      </c>
      <c r="C266" s="91">
        <v>5.3788000000000004E-3</v>
      </c>
      <c r="D266" s="90">
        <v>939986</v>
      </c>
      <c r="E266" s="97">
        <v>5056</v>
      </c>
      <c r="F266" s="90">
        <v>937458</v>
      </c>
      <c r="G266" s="96">
        <v>24553478</v>
      </c>
      <c r="H266" s="95">
        <v>26.12</v>
      </c>
      <c r="I266" s="91">
        <v>2.7206999999999999E-3</v>
      </c>
      <c r="J266" s="90">
        <v>968757</v>
      </c>
      <c r="K266" s="97">
        <v>2636</v>
      </c>
      <c r="L266" s="90">
        <v>967439</v>
      </c>
      <c r="M266" s="96">
        <v>30255109</v>
      </c>
      <c r="N266" s="95">
        <v>31.23</v>
      </c>
    </row>
    <row r="267" spans="1:14" ht="22.5" customHeight="1">
      <c r="A267" s="108"/>
      <c r="B267" s="93" t="s">
        <v>259</v>
      </c>
      <c r="C267" s="91">
        <v>5.8522299999999999E-3</v>
      </c>
      <c r="D267" s="90">
        <v>934930</v>
      </c>
      <c r="E267" s="97">
        <v>5471</v>
      </c>
      <c r="F267" s="90">
        <v>932195</v>
      </c>
      <c r="G267" s="96">
        <v>23616020</v>
      </c>
      <c r="H267" s="95">
        <v>25.26</v>
      </c>
      <c r="I267" s="91">
        <v>2.9318999999999999E-3</v>
      </c>
      <c r="J267" s="90">
        <v>966121</v>
      </c>
      <c r="K267" s="97">
        <v>2833</v>
      </c>
      <c r="L267" s="90">
        <v>964705</v>
      </c>
      <c r="M267" s="96">
        <v>29287670</v>
      </c>
      <c r="N267" s="95">
        <v>30.31</v>
      </c>
    </row>
    <row r="268" spans="1:14" ht="22.5" customHeight="1">
      <c r="A268" s="108"/>
      <c r="B268" s="93" t="s">
        <v>258</v>
      </c>
      <c r="C268" s="91">
        <v>6.38281E-3</v>
      </c>
      <c r="D268" s="90">
        <v>929459</v>
      </c>
      <c r="E268" s="97">
        <v>5933</v>
      </c>
      <c r="F268" s="90">
        <v>926493</v>
      </c>
      <c r="G268" s="96">
        <v>22683825</v>
      </c>
      <c r="H268" s="95">
        <v>24.41</v>
      </c>
      <c r="I268" s="91">
        <v>3.1572200000000001E-3</v>
      </c>
      <c r="J268" s="90">
        <v>963288</v>
      </c>
      <c r="K268" s="97">
        <v>3041</v>
      </c>
      <c r="L268" s="90">
        <v>961768</v>
      </c>
      <c r="M268" s="96">
        <v>28322965</v>
      </c>
      <c r="N268" s="95">
        <v>29.4</v>
      </c>
    </row>
    <row r="269" spans="1:14" ht="22.5" customHeight="1">
      <c r="A269" s="108"/>
      <c r="B269" s="93" t="s">
        <v>257</v>
      </c>
      <c r="C269" s="91">
        <v>6.9615099999999997E-3</v>
      </c>
      <c r="D269" s="90">
        <v>923526</v>
      </c>
      <c r="E269" s="97">
        <v>6429</v>
      </c>
      <c r="F269" s="90">
        <v>920312</v>
      </c>
      <c r="G269" s="96">
        <v>21757332</v>
      </c>
      <c r="H269" s="95">
        <v>23.56</v>
      </c>
      <c r="I269" s="91">
        <v>3.3925299999999999E-3</v>
      </c>
      <c r="J269" s="90">
        <v>960247</v>
      </c>
      <c r="K269" s="97">
        <v>3258</v>
      </c>
      <c r="L269" s="90">
        <v>958618</v>
      </c>
      <c r="M269" s="96">
        <v>27361197</v>
      </c>
      <c r="N269" s="95">
        <v>28.49</v>
      </c>
    </row>
    <row r="270" spans="1:14" ht="22.5" customHeight="1">
      <c r="A270" s="108"/>
      <c r="B270" s="93" t="s">
        <v>256</v>
      </c>
      <c r="C270" s="91">
        <v>7.5858200000000001E-3</v>
      </c>
      <c r="D270" s="90">
        <v>917097</v>
      </c>
      <c r="E270" s="97">
        <v>6957</v>
      </c>
      <c r="F270" s="90">
        <v>913619</v>
      </c>
      <c r="G270" s="96">
        <v>20837020</v>
      </c>
      <c r="H270" s="95">
        <v>22.72</v>
      </c>
      <c r="I270" s="91">
        <v>3.6386000000000001E-3</v>
      </c>
      <c r="J270" s="90">
        <v>956989</v>
      </c>
      <c r="K270" s="97">
        <v>3482</v>
      </c>
      <c r="L270" s="90">
        <v>955248</v>
      </c>
      <c r="M270" s="96">
        <v>26402579</v>
      </c>
      <c r="N270" s="95">
        <v>27.59</v>
      </c>
    </row>
    <row r="271" spans="1:14" ht="22.5" customHeight="1">
      <c r="A271" s="108"/>
      <c r="B271" s="93" t="s">
        <v>255</v>
      </c>
      <c r="C271" s="91">
        <v>8.25971E-3</v>
      </c>
      <c r="D271" s="90">
        <v>910140</v>
      </c>
      <c r="E271" s="97">
        <v>7517</v>
      </c>
      <c r="F271" s="90">
        <v>906382</v>
      </c>
      <c r="G271" s="96">
        <v>19923401</v>
      </c>
      <c r="H271" s="95">
        <v>21.89</v>
      </c>
      <c r="I271" s="91">
        <v>3.9010999999999998E-3</v>
      </c>
      <c r="J271" s="90">
        <v>953507</v>
      </c>
      <c r="K271" s="97">
        <v>3720</v>
      </c>
      <c r="L271" s="90">
        <v>951647</v>
      </c>
      <c r="M271" s="96">
        <v>25447331</v>
      </c>
      <c r="N271" s="95">
        <v>26.69</v>
      </c>
    </row>
    <row r="272" spans="1:14" ht="22.5" customHeight="1">
      <c r="A272" s="108"/>
      <c r="B272" s="93" t="s">
        <v>254</v>
      </c>
      <c r="C272" s="91">
        <v>8.9986900000000002E-3</v>
      </c>
      <c r="D272" s="90">
        <v>902623</v>
      </c>
      <c r="E272" s="97">
        <v>8122</v>
      </c>
      <c r="F272" s="90">
        <v>898562</v>
      </c>
      <c r="G272" s="96">
        <v>19017019</v>
      </c>
      <c r="H272" s="95">
        <v>21.07</v>
      </c>
      <c r="I272" s="91">
        <v>4.18856E-3</v>
      </c>
      <c r="J272" s="90">
        <v>949787</v>
      </c>
      <c r="K272" s="97">
        <v>3978</v>
      </c>
      <c r="L272" s="90">
        <v>947798</v>
      </c>
      <c r="M272" s="96">
        <v>24495684</v>
      </c>
      <c r="N272" s="95">
        <v>25.79</v>
      </c>
    </row>
    <row r="273" spans="1:14" ht="22.5" customHeight="1">
      <c r="A273" s="108"/>
      <c r="B273" s="93" t="s">
        <v>253</v>
      </c>
      <c r="C273" s="91">
        <v>9.8230599999999998E-3</v>
      </c>
      <c r="D273" s="90">
        <v>894501</v>
      </c>
      <c r="E273" s="97">
        <v>8787</v>
      </c>
      <c r="F273" s="90">
        <v>890108</v>
      </c>
      <c r="G273" s="96">
        <v>18118457</v>
      </c>
      <c r="H273" s="95">
        <v>20.260000000000002</v>
      </c>
      <c r="I273" s="91">
        <v>4.5115299999999997E-3</v>
      </c>
      <c r="J273" s="90">
        <v>945809</v>
      </c>
      <c r="K273" s="97">
        <v>4267</v>
      </c>
      <c r="L273" s="90">
        <v>943676</v>
      </c>
      <c r="M273" s="96">
        <v>23547886</v>
      </c>
      <c r="N273" s="95">
        <v>24.9</v>
      </c>
    </row>
    <row r="274" spans="1:14" ht="22.5" customHeight="1">
      <c r="A274" s="108"/>
      <c r="B274" s="93" t="s">
        <v>252</v>
      </c>
      <c r="C274" s="91">
        <v>1.072216E-2</v>
      </c>
      <c r="D274" s="90">
        <v>885714</v>
      </c>
      <c r="E274" s="97">
        <v>9497</v>
      </c>
      <c r="F274" s="90">
        <v>880966</v>
      </c>
      <c r="G274" s="96">
        <v>17228349</v>
      </c>
      <c r="H274" s="95">
        <v>19.45</v>
      </c>
      <c r="I274" s="91">
        <v>4.8532599999999999E-3</v>
      </c>
      <c r="J274" s="90">
        <v>941542</v>
      </c>
      <c r="K274" s="97">
        <v>4570</v>
      </c>
      <c r="L274" s="90">
        <v>939257</v>
      </c>
      <c r="M274" s="96">
        <v>22604210</v>
      </c>
      <c r="N274" s="95">
        <v>24.01</v>
      </c>
    </row>
    <row r="275" spans="1:14" ht="22.5" customHeight="1">
      <c r="A275" s="108"/>
      <c r="B275" s="93" t="s">
        <v>251</v>
      </c>
      <c r="C275" s="91">
        <v>1.170623E-2</v>
      </c>
      <c r="D275" s="90">
        <v>876217</v>
      </c>
      <c r="E275" s="92">
        <v>10257</v>
      </c>
      <c r="F275" s="90">
        <v>871089</v>
      </c>
      <c r="G275" s="96">
        <v>16347383</v>
      </c>
      <c r="H275" s="95">
        <v>18.66</v>
      </c>
      <c r="I275" s="91">
        <v>5.2148400000000001E-3</v>
      </c>
      <c r="J275" s="90">
        <v>936972</v>
      </c>
      <c r="K275" s="97">
        <v>4886</v>
      </c>
      <c r="L275" s="90">
        <v>934529</v>
      </c>
      <c r="M275" s="96">
        <v>21664953</v>
      </c>
      <c r="N275" s="95">
        <v>23.12</v>
      </c>
    </row>
    <row r="276" spans="1:14" ht="22.5" customHeight="1">
      <c r="A276" s="108"/>
      <c r="B276" s="93" t="s">
        <v>250</v>
      </c>
      <c r="C276" s="91">
        <v>1.280622E-2</v>
      </c>
      <c r="D276" s="90">
        <v>865960</v>
      </c>
      <c r="E276" s="92">
        <v>11090</v>
      </c>
      <c r="F276" s="90">
        <v>860415</v>
      </c>
      <c r="G276" s="96">
        <v>15476294</v>
      </c>
      <c r="H276" s="95">
        <v>17.87</v>
      </c>
      <c r="I276" s="91">
        <v>5.6151999999999999E-3</v>
      </c>
      <c r="J276" s="90">
        <v>932086</v>
      </c>
      <c r="K276" s="97">
        <v>5234</v>
      </c>
      <c r="L276" s="90">
        <v>929469</v>
      </c>
      <c r="M276" s="96">
        <v>20730424</v>
      </c>
      <c r="N276" s="95">
        <v>22.24</v>
      </c>
    </row>
    <row r="277" spans="1:14" ht="22.5" customHeight="1">
      <c r="A277" s="108"/>
      <c r="B277" s="93" t="s">
        <v>249</v>
      </c>
      <c r="C277" s="91">
        <v>1.406516E-2</v>
      </c>
      <c r="D277" s="90">
        <v>854870</v>
      </c>
      <c r="E277" s="92">
        <v>12024</v>
      </c>
      <c r="F277" s="90">
        <v>848858</v>
      </c>
      <c r="G277" s="96">
        <v>14615879</v>
      </c>
      <c r="H277" s="95">
        <v>17.100000000000001</v>
      </c>
      <c r="I277" s="91">
        <v>6.0846099999999998E-3</v>
      </c>
      <c r="J277" s="90">
        <v>926852</v>
      </c>
      <c r="K277" s="97">
        <v>5640</v>
      </c>
      <c r="L277" s="90">
        <v>924032</v>
      </c>
      <c r="M277" s="96">
        <v>19800955</v>
      </c>
      <c r="N277" s="95">
        <v>21.36</v>
      </c>
    </row>
    <row r="278" spans="1:14" ht="22.5" customHeight="1">
      <c r="A278" s="108"/>
      <c r="B278" s="93" t="s">
        <v>248</v>
      </c>
      <c r="C278" s="91">
        <v>1.5532539999999999E-2</v>
      </c>
      <c r="D278" s="90">
        <v>842846</v>
      </c>
      <c r="E278" s="92">
        <v>13092</v>
      </c>
      <c r="F278" s="90">
        <v>836300</v>
      </c>
      <c r="G278" s="96">
        <v>13767021</v>
      </c>
      <c r="H278" s="95">
        <v>16.329999999999998</v>
      </c>
      <c r="I278" s="91">
        <v>6.6611800000000001E-3</v>
      </c>
      <c r="J278" s="90">
        <v>921212</v>
      </c>
      <c r="K278" s="97">
        <v>6136</v>
      </c>
      <c r="L278" s="90">
        <v>918144</v>
      </c>
      <c r="M278" s="96">
        <v>18876923</v>
      </c>
      <c r="N278" s="95">
        <v>20.49</v>
      </c>
    </row>
    <row r="279" spans="1:14" ht="22.5" customHeight="1">
      <c r="A279" s="108"/>
      <c r="B279" s="93" t="s">
        <v>247</v>
      </c>
      <c r="C279" s="91">
        <v>1.725805E-2</v>
      </c>
      <c r="D279" s="90">
        <v>829754</v>
      </c>
      <c r="E279" s="92">
        <v>14320</v>
      </c>
      <c r="F279" s="90">
        <v>822594</v>
      </c>
      <c r="G279" s="96">
        <v>12930721</v>
      </c>
      <c r="H279" s="95">
        <v>15.58</v>
      </c>
      <c r="I279" s="91">
        <v>7.3665800000000002E-3</v>
      </c>
      <c r="J279" s="90">
        <v>915076</v>
      </c>
      <c r="K279" s="97">
        <v>6741</v>
      </c>
      <c r="L279" s="90">
        <v>911706</v>
      </c>
      <c r="M279" s="96">
        <v>17958779</v>
      </c>
      <c r="N279" s="95">
        <v>19.63</v>
      </c>
    </row>
    <row r="280" spans="1:14" ht="22.5" customHeight="1">
      <c r="A280" s="108"/>
      <c r="B280" s="93" t="s">
        <v>246</v>
      </c>
      <c r="C280" s="91">
        <v>1.928084E-2</v>
      </c>
      <c r="D280" s="90">
        <v>815434</v>
      </c>
      <c r="E280" s="92">
        <v>15722</v>
      </c>
      <c r="F280" s="90">
        <v>807573</v>
      </c>
      <c r="G280" s="96">
        <v>12108127</v>
      </c>
      <c r="H280" s="95">
        <v>14.85</v>
      </c>
      <c r="I280" s="91">
        <v>8.2308999999999993E-3</v>
      </c>
      <c r="J280" s="90">
        <v>908335</v>
      </c>
      <c r="K280" s="97">
        <v>7476</v>
      </c>
      <c r="L280" s="90">
        <v>904597</v>
      </c>
      <c r="M280" s="96">
        <v>17047073</v>
      </c>
      <c r="N280" s="95">
        <v>18.77</v>
      </c>
    </row>
    <row r="281" spans="1:14" ht="22.5" customHeight="1">
      <c r="A281" s="108"/>
      <c r="B281" s="93" t="s">
        <v>245</v>
      </c>
      <c r="C281" s="91">
        <v>2.1629570000000001E-2</v>
      </c>
      <c r="D281" s="90">
        <v>799712</v>
      </c>
      <c r="E281" s="92">
        <v>17297</v>
      </c>
      <c r="F281" s="90">
        <v>791064</v>
      </c>
      <c r="G281" s="96">
        <v>11300554</v>
      </c>
      <c r="H281" s="95">
        <v>14.13</v>
      </c>
      <c r="I281" s="91">
        <v>9.29257E-3</v>
      </c>
      <c r="J281" s="90">
        <v>900859</v>
      </c>
      <c r="K281" s="97">
        <v>8371</v>
      </c>
      <c r="L281" s="90">
        <v>896674</v>
      </c>
      <c r="M281" s="96">
        <v>16142476</v>
      </c>
      <c r="N281" s="95">
        <v>17.920000000000002</v>
      </c>
    </row>
    <row r="282" spans="1:14" ht="22.5" customHeight="1">
      <c r="A282" s="108"/>
      <c r="B282" s="93" t="s">
        <v>244</v>
      </c>
      <c r="C282" s="91">
        <v>2.4340520000000001E-2</v>
      </c>
      <c r="D282" s="90">
        <v>782415</v>
      </c>
      <c r="E282" s="92">
        <v>19044</v>
      </c>
      <c r="F282" s="90">
        <v>772893</v>
      </c>
      <c r="G282" s="96">
        <v>10509490</v>
      </c>
      <c r="H282" s="95">
        <v>13.43</v>
      </c>
      <c r="I282" s="91">
        <v>1.0598430000000001E-2</v>
      </c>
      <c r="J282" s="90">
        <v>892488</v>
      </c>
      <c r="K282" s="97">
        <v>9459</v>
      </c>
      <c r="L282" s="90">
        <v>887759</v>
      </c>
      <c r="M282" s="96">
        <v>15245802</v>
      </c>
      <c r="N282" s="95">
        <v>17.079999999999998</v>
      </c>
    </row>
    <row r="283" spans="1:14" ht="22.5" customHeight="1">
      <c r="A283" s="108"/>
      <c r="B283" s="93" t="s">
        <v>243</v>
      </c>
      <c r="C283" s="91">
        <v>2.7437010000000001E-2</v>
      </c>
      <c r="D283" s="90">
        <v>763371</v>
      </c>
      <c r="E283" s="92">
        <v>20945</v>
      </c>
      <c r="F283" s="90">
        <v>752899</v>
      </c>
      <c r="G283" s="94">
        <v>9736597</v>
      </c>
      <c r="H283" s="95">
        <v>12.75</v>
      </c>
      <c r="I283" s="91">
        <v>1.2191820000000001E-2</v>
      </c>
      <c r="J283" s="90">
        <v>883029</v>
      </c>
      <c r="K283" s="92">
        <v>10766</v>
      </c>
      <c r="L283" s="90">
        <v>877646</v>
      </c>
      <c r="M283" s="96">
        <v>14358043</v>
      </c>
      <c r="N283" s="95">
        <v>16.260000000000002</v>
      </c>
    </row>
    <row r="284" spans="1:14" ht="22.5" customHeight="1">
      <c r="A284" s="108"/>
      <c r="B284" s="93" t="s">
        <v>242</v>
      </c>
      <c r="C284" s="91">
        <v>3.0921939999999998E-2</v>
      </c>
      <c r="D284" s="90">
        <v>742426</v>
      </c>
      <c r="E284" s="92">
        <v>22957</v>
      </c>
      <c r="F284" s="90">
        <v>730948</v>
      </c>
      <c r="G284" s="94">
        <v>8983698</v>
      </c>
      <c r="H284" s="95">
        <v>12.1</v>
      </c>
      <c r="I284" s="91">
        <v>1.4104469999999999E-2</v>
      </c>
      <c r="J284" s="90">
        <v>872263</v>
      </c>
      <c r="K284" s="92">
        <v>12303</v>
      </c>
      <c r="L284" s="90">
        <v>866112</v>
      </c>
      <c r="M284" s="96">
        <v>13480397</v>
      </c>
      <c r="N284" s="95">
        <v>15.45</v>
      </c>
    </row>
    <row r="285" spans="1:14" ht="22.5" customHeight="1">
      <c r="A285" s="108"/>
      <c r="B285" s="93" t="s">
        <v>241</v>
      </c>
      <c r="C285" s="91">
        <v>3.4787569999999997E-2</v>
      </c>
      <c r="D285" s="90">
        <v>719469</v>
      </c>
      <c r="E285" s="92">
        <v>25029</v>
      </c>
      <c r="F285" s="90">
        <v>706955</v>
      </c>
      <c r="G285" s="94">
        <v>8252750</v>
      </c>
      <c r="H285" s="95">
        <v>11.47</v>
      </c>
      <c r="I285" s="91">
        <v>1.635754E-2</v>
      </c>
      <c r="J285" s="90">
        <v>859960</v>
      </c>
      <c r="K285" s="92">
        <v>14067</v>
      </c>
      <c r="L285" s="90">
        <v>852927</v>
      </c>
      <c r="M285" s="96">
        <v>12614285</v>
      </c>
      <c r="N285" s="95">
        <v>14.67</v>
      </c>
    </row>
    <row r="286" spans="1:14" ht="22.5" customHeight="1">
      <c r="A286" s="108"/>
      <c r="B286" s="93" t="s">
        <v>240</v>
      </c>
      <c r="C286" s="91">
        <v>3.9020619999999999E-2</v>
      </c>
      <c r="D286" s="90">
        <v>694440</v>
      </c>
      <c r="E286" s="92">
        <v>27097</v>
      </c>
      <c r="F286" s="90">
        <v>680892</v>
      </c>
      <c r="G286" s="94">
        <v>7545795</v>
      </c>
      <c r="H286" s="95">
        <v>10.87</v>
      </c>
      <c r="I286" s="91">
        <v>1.8962819999999998E-2</v>
      </c>
      <c r="J286" s="90">
        <v>845893</v>
      </c>
      <c r="K286" s="92">
        <v>16041</v>
      </c>
      <c r="L286" s="90">
        <v>837873</v>
      </c>
      <c r="M286" s="96">
        <v>11761358</v>
      </c>
      <c r="N286" s="95">
        <v>13.9</v>
      </c>
    </row>
    <row r="287" spans="1:14" ht="22.5" customHeight="1">
      <c r="A287" s="108"/>
      <c r="B287" s="93" t="s">
        <v>239</v>
      </c>
      <c r="C287" s="91">
        <v>4.3604999999999998E-2</v>
      </c>
      <c r="D287" s="90">
        <v>667343</v>
      </c>
      <c r="E287" s="92">
        <v>29099</v>
      </c>
      <c r="F287" s="90">
        <v>652794</v>
      </c>
      <c r="G287" s="94">
        <v>6864903</v>
      </c>
      <c r="H287" s="95">
        <v>10.29</v>
      </c>
      <c r="I287" s="91">
        <v>2.192798E-2</v>
      </c>
      <c r="J287" s="90">
        <v>829852</v>
      </c>
      <c r="K287" s="92">
        <v>18197</v>
      </c>
      <c r="L287" s="90">
        <v>820754</v>
      </c>
      <c r="M287" s="96">
        <v>10923485</v>
      </c>
      <c r="N287" s="95">
        <v>13.16</v>
      </c>
    </row>
    <row r="288" spans="1:14" ht="22.5" customHeight="1">
      <c r="A288" s="108"/>
      <c r="B288" s="93" t="s">
        <v>238</v>
      </c>
      <c r="C288" s="91">
        <v>4.8524070000000002E-2</v>
      </c>
      <c r="D288" s="90">
        <v>638244</v>
      </c>
      <c r="E288" s="92">
        <v>30970</v>
      </c>
      <c r="F288" s="90">
        <v>622759</v>
      </c>
      <c r="G288" s="94">
        <v>6212109</v>
      </c>
      <c r="H288" s="89">
        <v>9.73</v>
      </c>
      <c r="I288" s="91">
        <v>2.5252699999999999E-2</v>
      </c>
      <c r="J288" s="90">
        <v>811655</v>
      </c>
      <c r="K288" s="92">
        <v>20496</v>
      </c>
      <c r="L288" s="90">
        <v>801407</v>
      </c>
      <c r="M288" s="96">
        <v>10102731</v>
      </c>
      <c r="N288" s="95">
        <v>12.45</v>
      </c>
    </row>
    <row r="289" spans="1:14" ht="22.5" customHeight="1">
      <c r="A289" s="108"/>
      <c r="B289" s="93" t="s">
        <v>237</v>
      </c>
      <c r="C289" s="91">
        <v>5.3773019999999998E-2</v>
      </c>
      <c r="D289" s="90">
        <v>607274</v>
      </c>
      <c r="E289" s="92">
        <v>32655</v>
      </c>
      <c r="F289" s="90">
        <v>590947</v>
      </c>
      <c r="G289" s="94">
        <v>5589350</v>
      </c>
      <c r="H289" s="89">
        <v>9.1999999999999993</v>
      </c>
      <c r="I289" s="91">
        <v>2.8940770000000001E-2</v>
      </c>
      <c r="J289" s="90">
        <v>791159</v>
      </c>
      <c r="K289" s="92">
        <v>22897</v>
      </c>
      <c r="L289" s="90">
        <v>779711</v>
      </c>
      <c r="M289" s="94">
        <v>9301324</v>
      </c>
      <c r="N289" s="95">
        <v>11.76</v>
      </c>
    </row>
    <row r="290" spans="1:14" ht="22.5" customHeight="1">
      <c r="A290" s="108"/>
      <c r="B290" s="93" t="s">
        <v>236</v>
      </c>
      <c r="C290" s="91">
        <v>5.9341699999999997E-2</v>
      </c>
      <c r="D290" s="90">
        <v>574619</v>
      </c>
      <c r="E290" s="92">
        <v>34099</v>
      </c>
      <c r="F290" s="90">
        <v>557570</v>
      </c>
      <c r="G290" s="94">
        <v>4998403</v>
      </c>
      <c r="H290" s="89">
        <v>8.6999999999999993</v>
      </c>
      <c r="I290" s="91">
        <v>3.2988330000000003E-2</v>
      </c>
      <c r="J290" s="90">
        <v>768262</v>
      </c>
      <c r="K290" s="92">
        <v>25344</v>
      </c>
      <c r="L290" s="90">
        <v>755590</v>
      </c>
      <c r="M290" s="94">
        <v>8521613</v>
      </c>
      <c r="N290" s="95">
        <v>11.09</v>
      </c>
    </row>
    <row r="291" spans="1:14" ht="22.5" customHeight="1">
      <c r="A291" s="108"/>
      <c r="B291" s="93" t="s">
        <v>235</v>
      </c>
      <c r="C291" s="91">
        <v>6.5222050000000004E-2</v>
      </c>
      <c r="D291" s="90">
        <v>540520</v>
      </c>
      <c r="E291" s="92">
        <v>35254</v>
      </c>
      <c r="F291" s="90">
        <v>522893</v>
      </c>
      <c r="G291" s="94">
        <v>4440833</v>
      </c>
      <c r="H291" s="89">
        <v>8.2200000000000006</v>
      </c>
      <c r="I291" s="91">
        <v>3.7390260000000002E-2</v>
      </c>
      <c r="J291" s="90">
        <v>742918</v>
      </c>
      <c r="K291" s="92">
        <v>27778</v>
      </c>
      <c r="L291" s="90">
        <v>729029</v>
      </c>
      <c r="M291" s="94">
        <v>7766023</v>
      </c>
      <c r="N291" s="95">
        <v>10.45</v>
      </c>
    </row>
    <row r="292" spans="1:14" ht="22.5" customHeight="1">
      <c r="A292" s="108"/>
      <c r="B292" s="93" t="s">
        <v>234</v>
      </c>
      <c r="C292" s="91">
        <v>7.140813E-2</v>
      </c>
      <c r="D292" s="90">
        <v>505266</v>
      </c>
      <c r="E292" s="92">
        <v>36080</v>
      </c>
      <c r="F292" s="90">
        <v>487226</v>
      </c>
      <c r="G292" s="94">
        <v>3917940</v>
      </c>
      <c r="H292" s="89">
        <v>7.75</v>
      </c>
      <c r="I292" s="91">
        <v>4.2141709999999999E-2</v>
      </c>
      <c r="J292" s="90">
        <v>715140</v>
      </c>
      <c r="K292" s="92">
        <v>30137</v>
      </c>
      <c r="L292" s="90">
        <v>700072</v>
      </c>
      <c r="M292" s="94">
        <v>7036994</v>
      </c>
      <c r="N292" s="89">
        <v>9.84</v>
      </c>
    </row>
    <row r="293" spans="1:14" ht="22.5" customHeight="1">
      <c r="A293" s="108"/>
      <c r="B293" s="93" t="s">
        <v>233</v>
      </c>
      <c r="C293" s="91">
        <v>7.7893749999999998E-2</v>
      </c>
      <c r="D293" s="90">
        <v>469186</v>
      </c>
      <c r="E293" s="92">
        <v>36547</v>
      </c>
      <c r="F293" s="90">
        <v>450913</v>
      </c>
      <c r="G293" s="94">
        <v>3430714</v>
      </c>
      <c r="H293" s="89">
        <v>7.31</v>
      </c>
      <c r="I293" s="91">
        <v>4.723745E-2</v>
      </c>
      <c r="J293" s="90">
        <v>685003</v>
      </c>
      <c r="K293" s="92">
        <v>32358</v>
      </c>
      <c r="L293" s="90">
        <v>668824</v>
      </c>
      <c r="M293" s="94">
        <v>6336922</v>
      </c>
      <c r="N293" s="89">
        <v>9.25</v>
      </c>
    </row>
    <row r="294" spans="1:14" ht="22.5" customHeight="1">
      <c r="A294" s="108"/>
      <c r="B294" s="93" t="s">
        <v>232</v>
      </c>
      <c r="C294" s="91">
        <v>8.4942470000000006E-2</v>
      </c>
      <c r="D294" s="90">
        <v>432639</v>
      </c>
      <c r="E294" s="92">
        <v>36749</v>
      </c>
      <c r="F294" s="90">
        <v>414265</v>
      </c>
      <c r="G294" s="94">
        <v>2979801</v>
      </c>
      <c r="H294" s="89">
        <v>6.89</v>
      </c>
      <c r="I294" s="91">
        <v>5.2887860000000002E-2</v>
      </c>
      <c r="J294" s="90">
        <v>652645</v>
      </c>
      <c r="K294" s="92">
        <v>34517</v>
      </c>
      <c r="L294" s="90">
        <v>635387</v>
      </c>
      <c r="M294" s="94">
        <v>5668098</v>
      </c>
      <c r="N294" s="89">
        <v>8.68</v>
      </c>
    </row>
    <row r="295" spans="1:14" ht="22.5" customHeight="1">
      <c r="A295" s="108"/>
      <c r="B295" s="93" t="s">
        <v>231</v>
      </c>
      <c r="C295" s="91">
        <v>9.2598310000000003E-2</v>
      </c>
      <c r="D295" s="90">
        <v>395890</v>
      </c>
      <c r="E295" s="92">
        <v>36659</v>
      </c>
      <c r="F295" s="90">
        <v>377561</v>
      </c>
      <c r="G295" s="94">
        <v>2565536</v>
      </c>
      <c r="H295" s="89">
        <v>6.48</v>
      </c>
      <c r="I295" s="91">
        <v>5.9143679999999997E-2</v>
      </c>
      <c r="J295" s="90">
        <v>618128</v>
      </c>
      <c r="K295" s="92">
        <v>36558</v>
      </c>
      <c r="L295" s="90">
        <v>599849</v>
      </c>
      <c r="M295" s="94">
        <v>5032711</v>
      </c>
      <c r="N295" s="89">
        <v>8.14</v>
      </c>
    </row>
    <row r="296" spans="1:14" ht="22.5" customHeight="1">
      <c r="A296" s="108"/>
      <c r="B296" s="93" t="s">
        <v>230</v>
      </c>
      <c r="C296" s="91">
        <v>0.10090782</v>
      </c>
      <c r="D296" s="90">
        <v>359231</v>
      </c>
      <c r="E296" s="92">
        <v>36249</v>
      </c>
      <c r="F296" s="90">
        <v>341107</v>
      </c>
      <c r="G296" s="94">
        <v>2187975</v>
      </c>
      <c r="H296" s="89">
        <v>6.09</v>
      </c>
      <c r="I296" s="91">
        <v>6.6058710000000007E-2</v>
      </c>
      <c r="J296" s="90">
        <v>581570</v>
      </c>
      <c r="K296" s="92">
        <v>38418</v>
      </c>
      <c r="L296" s="90">
        <v>562361</v>
      </c>
      <c r="M296" s="94">
        <v>4432862</v>
      </c>
      <c r="N296" s="89">
        <v>7.62</v>
      </c>
    </row>
    <row r="297" spans="1:14" ht="22.5" customHeight="1">
      <c r="A297" s="108"/>
      <c r="B297" s="93" t="s">
        <v>229</v>
      </c>
      <c r="C297" s="91">
        <v>0.10992001999999999</v>
      </c>
      <c r="D297" s="90">
        <v>322982</v>
      </c>
      <c r="E297" s="92">
        <v>35502</v>
      </c>
      <c r="F297" s="90">
        <v>305231</v>
      </c>
      <c r="G297" s="94">
        <v>1846868</v>
      </c>
      <c r="H297" s="89">
        <v>5.72</v>
      </c>
      <c r="I297" s="91">
        <v>7.3689699999999997E-2</v>
      </c>
      <c r="J297" s="90">
        <v>543152</v>
      </c>
      <c r="K297" s="92">
        <v>40025</v>
      </c>
      <c r="L297" s="90">
        <v>523140</v>
      </c>
      <c r="M297" s="94">
        <v>3870501</v>
      </c>
      <c r="N297" s="89">
        <v>7.13</v>
      </c>
    </row>
    <row r="298" spans="1:14" ht="22.5" customHeight="1">
      <c r="A298" s="108"/>
      <c r="B298" s="93" t="s">
        <v>228</v>
      </c>
      <c r="C298" s="91">
        <v>0.11968639</v>
      </c>
      <c r="D298" s="90">
        <v>287480</v>
      </c>
      <c r="E298" s="92">
        <v>34407</v>
      </c>
      <c r="F298" s="90">
        <v>270277</v>
      </c>
      <c r="G298" s="94">
        <v>1541637</v>
      </c>
      <c r="H298" s="89">
        <v>5.36</v>
      </c>
      <c r="I298" s="91">
        <v>8.2096180000000005E-2</v>
      </c>
      <c r="J298" s="90">
        <v>503127</v>
      </c>
      <c r="K298" s="92">
        <v>41305</v>
      </c>
      <c r="L298" s="90">
        <v>482475</v>
      </c>
      <c r="M298" s="94">
        <v>3347361</v>
      </c>
      <c r="N298" s="89">
        <v>6.65</v>
      </c>
    </row>
    <row r="299" spans="1:14" ht="22.5" customHeight="1">
      <c r="A299" s="108"/>
      <c r="B299" s="93" t="s">
        <v>227</v>
      </c>
      <c r="C299" s="91">
        <v>0.13026069000000001</v>
      </c>
      <c r="D299" s="90">
        <v>253073</v>
      </c>
      <c r="E299" s="92">
        <v>32965</v>
      </c>
      <c r="F299" s="90">
        <v>236591</v>
      </c>
      <c r="G299" s="94">
        <v>1271360</v>
      </c>
      <c r="H299" s="89">
        <v>5.0199999999999996</v>
      </c>
      <c r="I299" s="91">
        <v>9.1340240000000003E-2</v>
      </c>
      <c r="J299" s="90">
        <v>461822</v>
      </c>
      <c r="K299" s="92">
        <v>42183</v>
      </c>
      <c r="L299" s="90">
        <v>440731</v>
      </c>
      <c r="M299" s="94">
        <v>2864886</v>
      </c>
      <c r="N299" s="89">
        <v>6.2</v>
      </c>
    </row>
    <row r="300" spans="1:14" ht="22.5" customHeight="1">
      <c r="A300" s="108"/>
      <c r="B300" s="93" t="s">
        <v>226</v>
      </c>
      <c r="C300" s="91">
        <v>0.14169883</v>
      </c>
      <c r="D300" s="90">
        <v>220108</v>
      </c>
      <c r="E300" s="92">
        <v>31189</v>
      </c>
      <c r="F300" s="90">
        <v>204514</v>
      </c>
      <c r="G300" s="94">
        <v>1034769</v>
      </c>
      <c r="H300" s="89">
        <v>4.7</v>
      </c>
      <c r="I300" s="91">
        <v>0.10148615</v>
      </c>
      <c r="J300" s="90">
        <v>419639</v>
      </c>
      <c r="K300" s="92">
        <v>42588</v>
      </c>
      <c r="L300" s="90">
        <v>398345</v>
      </c>
      <c r="M300" s="94">
        <v>2424155</v>
      </c>
      <c r="N300" s="89">
        <v>5.78</v>
      </c>
    </row>
    <row r="301" spans="1:14" ht="22.5" customHeight="1">
      <c r="A301" s="108"/>
      <c r="B301" s="93" t="s">
        <v>225</v>
      </c>
      <c r="C301" s="91">
        <v>0.15405859999999999</v>
      </c>
      <c r="D301" s="90">
        <v>188919</v>
      </c>
      <c r="E301" s="92">
        <v>29105</v>
      </c>
      <c r="F301" s="90">
        <v>174367</v>
      </c>
      <c r="G301" s="90">
        <v>830255</v>
      </c>
      <c r="H301" s="89">
        <v>4.3899999999999997</v>
      </c>
      <c r="I301" s="91">
        <v>0.11259996</v>
      </c>
      <c r="J301" s="90">
        <v>377051</v>
      </c>
      <c r="K301" s="92">
        <v>42456</v>
      </c>
      <c r="L301" s="90">
        <v>355823</v>
      </c>
      <c r="M301" s="94">
        <v>2025810</v>
      </c>
      <c r="N301" s="89">
        <v>5.37</v>
      </c>
    </row>
    <row r="302" spans="1:14" ht="22.5" customHeight="1">
      <c r="A302" s="108"/>
      <c r="B302" s="93" t="s">
        <v>224</v>
      </c>
      <c r="C302" s="91">
        <v>0.16739933000000001</v>
      </c>
      <c r="D302" s="90">
        <v>159814</v>
      </c>
      <c r="E302" s="92">
        <v>26753</v>
      </c>
      <c r="F302" s="90">
        <v>146438</v>
      </c>
      <c r="G302" s="90">
        <v>655888</v>
      </c>
      <c r="H302" s="89">
        <v>4.0999999999999996</v>
      </c>
      <c r="I302" s="91">
        <v>0.12474892999999999</v>
      </c>
      <c r="J302" s="90">
        <v>334595</v>
      </c>
      <c r="K302" s="92">
        <v>41740</v>
      </c>
      <c r="L302" s="90">
        <v>313725</v>
      </c>
      <c r="M302" s="94">
        <v>1669987</v>
      </c>
      <c r="N302" s="89">
        <v>4.99</v>
      </c>
    </row>
    <row r="303" spans="1:14" ht="22.5" customHeight="1">
      <c r="A303" s="108"/>
      <c r="B303" s="93" t="s">
        <v>223</v>
      </c>
      <c r="C303" s="91">
        <v>0.18178154999999999</v>
      </c>
      <c r="D303" s="90">
        <v>133061</v>
      </c>
      <c r="E303" s="92">
        <v>24188</v>
      </c>
      <c r="F303" s="90">
        <v>120967</v>
      </c>
      <c r="G303" s="90">
        <v>509450</v>
      </c>
      <c r="H303" s="89">
        <v>3.83</v>
      </c>
      <c r="I303" s="91">
        <v>0.13800090000000001</v>
      </c>
      <c r="J303" s="90">
        <v>292855</v>
      </c>
      <c r="K303" s="92">
        <v>40414</v>
      </c>
      <c r="L303" s="90">
        <v>272648</v>
      </c>
      <c r="M303" s="94">
        <v>1356262</v>
      </c>
      <c r="N303" s="89">
        <v>4.63</v>
      </c>
    </row>
    <row r="304" spans="1:14" ht="22.5" customHeight="1">
      <c r="A304" s="108"/>
      <c r="B304" s="93" t="s">
        <v>222</v>
      </c>
      <c r="C304" s="91">
        <v>0.19726641</v>
      </c>
      <c r="D304" s="90">
        <v>108873</v>
      </c>
      <c r="E304" s="92">
        <v>21477</v>
      </c>
      <c r="F304" s="92">
        <v>98135</v>
      </c>
      <c r="G304" s="90">
        <v>388483</v>
      </c>
      <c r="H304" s="89">
        <v>3.57</v>
      </c>
      <c r="I304" s="91">
        <v>0.15242346000000001</v>
      </c>
      <c r="J304" s="90">
        <v>252441</v>
      </c>
      <c r="K304" s="92">
        <v>38478</v>
      </c>
      <c r="L304" s="90">
        <v>233202</v>
      </c>
      <c r="M304" s="94">
        <v>1083614</v>
      </c>
      <c r="N304" s="89">
        <v>4.29</v>
      </c>
    </row>
    <row r="305" spans="1:14" ht="22.5" customHeight="1">
      <c r="A305" s="108"/>
      <c r="B305" s="93" t="s">
        <v>221</v>
      </c>
      <c r="C305" s="91">
        <v>0.21391514</v>
      </c>
      <c r="D305" s="92">
        <v>87396</v>
      </c>
      <c r="E305" s="92">
        <v>18695</v>
      </c>
      <c r="F305" s="92">
        <v>78049</v>
      </c>
      <c r="G305" s="90">
        <v>290348</v>
      </c>
      <c r="H305" s="89">
        <v>3.32</v>
      </c>
      <c r="I305" s="91">
        <v>0.16808307</v>
      </c>
      <c r="J305" s="90">
        <v>213963</v>
      </c>
      <c r="K305" s="92">
        <v>35964</v>
      </c>
      <c r="L305" s="90">
        <v>195981</v>
      </c>
      <c r="M305" s="90">
        <v>850412</v>
      </c>
      <c r="N305" s="89">
        <v>3.97</v>
      </c>
    </row>
    <row r="306" spans="1:14" ht="22.5" customHeight="1">
      <c r="A306" s="108"/>
      <c r="B306" s="93" t="s">
        <v>220</v>
      </c>
      <c r="C306" s="91">
        <v>0.23178831999999999</v>
      </c>
      <c r="D306" s="92">
        <v>68701</v>
      </c>
      <c r="E306" s="92">
        <v>15924</v>
      </c>
      <c r="F306" s="92">
        <v>60739</v>
      </c>
      <c r="G306" s="90">
        <v>212299</v>
      </c>
      <c r="H306" s="89">
        <v>3.09</v>
      </c>
      <c r="I306" s="91">
        <v>0.18504399999999999</v>
      </c>
      <c r="J306" s="90">
        <v>177999</v>
      </c>
      <c r="K306" s="92">
        <v>32938</v>
      </c>
      <c r="L306" s="90">
        <v>161530</v>
      </c>
      <c r="M306" s="90">
        <v>654431</v>
      </c>
      <c r="N306" s="89">
        <v>3.68</v>
      </c>
    </row>
    <row r="307" spans="1:14" ht="22.5" customHeight="1">
      <c r="A307" s="108"/>
      <c r="B307" s="93" t="s">
        <v>219</v>
      </c>
      <c r="C307" s="91">
        <v>0.25094503000000001</v>
      </c>
      <c r="D307" s="92">
        <v>52777</v>
      </c>
      <c r="E307" s="92">
        <v>13244</v>
      </c>
      <c r="F307" s="92">
        <v>46155</v>
      </c>
      <c r="G307" s="90">
        <v>151560</v>
      </c>
      <c r="H307" s="89">
        <v>2.87</v>
      </c>
      <c r="I307" s="91">
        <v>0.20336717000000001</v>
      </c>
      <c r="J307" s="90">
        <v>145061</v>
      </c>
      <c r="K307" s="92">
        <v>29501</v>
      </c>
      <c r="L307" s="90">
        <v>130311</v>
      </c>
      <c r="M307" s="90">
        <v>492901</v>
      </c>
      <c r="N307" s="89">
        <v>3.4</v>
      </c>
    </row>
    <row r="308" spans="1:14" ht="22.5" customHeight="1">
      <c r="A308" s="108"/>
      <c r="B308" s="93" t="s">
        <v>218</v>
      </c>
      <c r="C308" s="91">
        <v>0.27144194999999999</v>
      </c>
      <c r="D308" s="92">
        <v>39533</v>
      </c>
      <c r="E308" s="92">
        <v>10731</v>
      </c>
      <c r="F308" s="92">
        <v>34168</v>
      </c>
      <c r="G308" s="90">
        <v>105405</v>
      </c>
      <c r="H308" s="89">
        <v>2.67</v>
      </c>
      <c r="I308" s="91">
        <v>0.22310885999999999</v>
      </c>
      <c r="J308" s="90">
        <v>115560</v>
      </c>
      <c r="K308" s="92">
        <v>25782</v>
      </c>
      <c r="L308" s="90">
        <v>102669</v>
      </c>
      <c r="M308" s="90">
        <v>362590</v>
      </c>
      <c r="N308" s="89">
        <v>3.14</v>
      </c>
    </row>
    <row r="309" spans="1:14" ht="22.5" customHeight="1">
      <c r="A309" s="108"/>
      <c r="B309" s="93" t="s">
        <v>217</v>
      </c>
      <c r="C309" s="91">
        <v>1</v>
      </c>
      <c r="D309" s="92">
        <v>28802</v>
      </c>
      <c r="E309" s="92">
        <v>28802</v>
      </c>
      <c r="F309" s="92">
        <v>71237</v>
      </c>
      <c r="G309" s="92">
        <v>71237</v>
      </c>
      <c r="H309" s="89">
        <v>2.4700000000000002</v>
      </c>
      <c r="I309" s="91">
        <v>1</v>
      </c>
      <c r="J309" s="92">
        <v>89778</v>
      </c>
      <c r="K309" s="92">
        <v>89778</v>
      </c>
      <c r="L309" s="90">
        <v>259921</v>
      </c>
      <c r="M309" s="90">
        <v>259921</v>
      </c>
      <c r="N309" s="89">
        <v>2.9</v>
      </c>
    </row>
    <row r="310" spans="1:14" ht="21.75" customHeight="1">
      <c r="A310" s="108" t="s">
        <v>318</v>
      </c>
      <c r="B310" s="93" t="s">
        <v>317</v>
      </c>
      <c r="C310" s="91">
        <v>1.4987500000000001E-3</v>
      </c>
      <c r="D310" s="94">
        <v>1000000</v>
      </c>
      <c r="E310" s="97">
        <v>1499</v>
      </c>
      <c r="F310" s="90">
        <v>998686</v>
      </c>
      <c r="G310" s="96">
        <v>82486214</v>
      </c>
      <c r="H310" s="95">
        <v>82.49</v>
      </c>
      <c r="I310" s="91">
        <v>1.8345900000000001E-3</v>
      </c>
      <c r="J310" s="94">
        <v>1000000</v>
      </c>
      <c r="K310" s="97">
        <v>1835</v>
      </c>
      <c r="L310" s="90">
        <v>998373</v>
      </c>
      <c r="M310" s="96">
        <v>87913101</v>
      </c>
      <c r="N310" s="95">
        <v>87.91</v>
      </c>
    </row>
    <row r="311" spans="1:14" ht="22.5" customHeight="1">
      <c r="A311" s="108"/>
      <c r="B311" s="93" t="s">
        <v>316</v>
      </c>
      <c r="C311" s="91">
        <v>1.7688E-4</v>
      </c>
      <c r="D311" s="90">
        <v>998501</v>
      </c>
      <c r="E311" s="98">
        <v>177</v>
      </c>
      <c r="F311" s="90">
        <v>998413</v>
      </c>
      <c r="G311" s="96">
        <v>81487528</v>
      </c>
      <c r="H311" s="95">
        <v>81.61</v>
      </c>
      <c r="I311" s="91">
        <v>1.3137000000000001E-4</v>
      </c>
      <c r="J311" s="90">
        <v>998165</v>
      </c>
      <c r="K311" s="98">
        <v>131</v>
      </c>
      <c r="L311" s="90">
        <v>998100</v>
      </c>
      <c r="M311" s="96">
        <v>86914728</v>
      </c>
      <c r="N311" s="95">
        <v>87.07</v>
      </c>
    </row>
    <row r="312" spans="1:14" ht="22.5" customHeight="1">
      <c r="A312" s="108"/>
      <c r="B312" s="93" t="s">
        <v>315</v>
      </c>
      <c r="C312" s="91">
        <v>1.4889999999999999E-4</v>
      </c>
      <c r="D312" s="90">
        <v>998324</v>
      </c>
      <c r="E312" s="98">
        <v>149</v>
      </c>
      <c r="F312" s="90">
        <v>998250</v>
      </c>
      <c r="G312" s="96">
        <v>80489115</v>
      </c>
      <c r="H312" s="95">
        <v>80.62</v>
      </c>
      <c r="I312" s="91">
        <v>1.1612000000000001E-4</v>
      </c>
      <c r="J312" s="90">
        <v>998034</v>
      </c>
      <c r="K312" s="98">
        <v>116</v>
      </c>
      <c r="L312" s="90">
        <v>997976</v>
      </c>
      <c r="M312" s="96">
        <v>85916628</v>
      </c>
      <c r="N312" s="95">
        <v>86.09</v>
      </c>
    </row>
    <row r="313" spans="1:14" ht="22.5" customHeight="1">
      <c r="A313" s="108"/>
      <c r="B313" s="93" t="s">
        <v>314</v>
      </c>
      <c r="C313" s="91">
        <v>1.2517E-4</v>
      </c>
      <c r="D313" s="90">
        <v>998175</v>
      </c>
      <c r="E313" s="98">
        <v>125</v>
      </c>
      <c r="F313" s="90">
        <v>998113</v>
      </c>
      <c r="G313" s="96">
        <v>79490865</v>
      </c>
      <c r="H313" s="95">
        <v>79.64</v>
      </c>
      <c r="I313" s="91">
        <v>1.0444E-4</v>
      </c>
      <c r="J313" s="90">
        <v>997918</v>
      </c>
      <c r="K313" s="98">
        <v>104</v>
      </c>
      <c r="L313" s="90">
        <v>997866</v>
      </c>
      <c r="M313" s="96">
        <v>84918652</v>
      </c>
      <c r="N313" s="95">
        <v>85.1</v>
      </c>
    </row>
    <row r="314" spans="1:14" ht="22.5" customHeight="1">
      <c r="A314" s="108"/>
      <c r="B314" s="93" t="s">
        <v>313</v>
      </c>
      <c r="C314" s="91">
        <v>1.0569E-4</v>
      </c>
      <c r="D314" s="90">
        <v>998050</v>
      </c>
      <c r="E314" s="98">
        <v>105</v>
      </c>
      <c r="F314" s="90">
        <v>997998</v>
      </c>
      <c r="G314" s="96">
        <v>78492752</v>
      </c>
      <c r="H314" s="95">
        <v>78.650000000000006</v>
      </c>
      <c r="I314" s="91">
        <v>9.6349999999999997E-5</v>
      </c>
      <c r="J314" s="90">
        <v>997814</v>
      </c>
      <c r="K314" s="99">
        <v>96</v>
      </c>
      <c r="L314" s="90">
        <v>997766</v>
      </c>
      <c r="M314" s="96">
        <v>83920786</v>
      </c>
      <c r="N314" s="95">
        <v>84.1</v>
      </c>
    </row>
    <row r="315" spans="1:14" ht="22.5" customHeight="1">
      <c r="A315" s="108"/>
      <c r="B315" s="93" t="s">
        <v>312</v>
      </c>
      <c r="C315" s="91">
        <v>9.0649999999999994E-5</v>
      </c>
      <c r="D315" s="90">
        <v>997945</v>
      </c>
      <c r="E315" s="99">
        <v>90</v>
      </c>
      <c r="F315" s="90">
        <v>997900</v>
      </c>
      <c r="G315" s="96">
        <v>77494754</v>
      </c>
      <c r="H315" s="95">
        <v>77.650000000000006</v>
      </c>
      <c r="I315" s="91">
        <v>9.1749999999999994E-5</v>
      </c>
      <c r="J315" s="90">
        <v>997718</v>
      </c>
      <c r="K315" s="99">
        <v>92</v>
      </c>
      <c r="L315" s="90">
        <v>997672</v>
      </c>
      <c r="M315" s="96">
        <v>82923020</v>
      </c>
      <c r="N315" s="95">
        <v>83.11</v>
      </c>
    </row>
    <row r="316" spans="1:14" ht="22.5" customHeight="1">
      <c r="A316" s="108"/>
      <c r="B316" s="93" t="s">
        <v>311</v>
      </c>
      <c r="C316" s="91">
        <v>8.0420000000000006E-5</v>
      </c>
      <c r="D316" s="90">
        <v>997855</v>
      </c>
      <c r="E316" s="99">
        <v>80</v>
      </c>
      <c r="F316" s="90">
        <v>997815</v>
      </c>
      <c r="G316" s="96">
        <v>76496854</v>
      </c>
      <c r="H316" s="95">
        <v>76.66</v>
      </c>
      <c r="I316" s="91">
        <v>9.0459999999999998E-5</v>
      </c>
      <c r="J316" s="90">
        <v>997626</v>
      </c>
      <c r="K316" s="99">
        <v>90</v>
      </c>
      <c r="L316" s="90">
        <v>997581</v>
      </c>
      <c r="M316" s="96">
        <v>81925348</v>
      </c>
      <c r="N316" s="95">
        <v>82.12</v>
      </c>
    </row>
    <row r="317" spans="1:14" ht="22.5" customHeight="1">
      <c r="A317" s="108"/>
      <c r="B317" s="93" t="s">
        <v>310</v>
      </c>
      <c r="C317" s="91">
        <v>7.4999999999999993E-5</v>
      </c>
      <c r="D317" s="90">
        <v>997775</v>
      </c>
      <c r="E317" s="99">
        <v>75</v>
      </c>
      <c r="F317" s="90">
        <v>997738</v>
      </c>
      <c r="G317" s="96">
        <v>75499039</v>
      </c>
      <c r="H317" s="95">
        <v>75.67</v>
      </c>
      <c r="I317" s="91">
        <v>9.2239999999999998E-5</v>
      </c>
      <c r="J317" s="90">
        <v>997536</v>
      </c>
      <c r="K317" s="99">
        <v>92</v>
      </c>
      <c r="L317" s="90">
        <v>997490</v>
      </c>
      <c r="M317" s="96">
        <v>80927767</v>
      </c>
      <c r="N317" s="95">
        <v>81.13</v>
      </c>
    </row>
    <row r="318" spans="1:14" ht="22.5" customHeight="1">
      <c r="A318" s="108"/>
      <c r="B318" s="93" t="s">
        <v>309</v>
      </c>
      <c r="C318" s="91">
        <v>7.5339999999999994E-5</v>
      </c>
      <c r="D318" s="90">
        <v>997700</v>
      </c>
      <c r="E318" s="99">
        <v>75</v>
      </c>
      <c r="F318" s="90">
        <v>997663</v>
      </c>
      <c r="G318" s="96">
        <v>74501301</v>
      </c>
      <c r="H318" s="95">
        <v>74.67</v>
      </c>
      <c r="I318" s="91">
        <v>9.6520000000000004E-5</v>
      </c>
      <c r="J318" s="90">
        <v>997444</v>
      </c>
      <c r="K318" s="99">
        <v>96</v>
      </c>
      <c r="L318" s="90">
        <v>997396</v>
      </c>
      <c r="M318" s="96">
        <v>79930277</v>
      </c>
      <c r="N318" s="95">
        <v>80.14</v>
      </c>
    </row>
    <row r="319" spans="1:14" ht="22.5" customHeight="1">
      <c r="A319" s="108"/>
      <c r="B319" s="93" t="s">
        <v>308</v>
      </c>
      <c r="C319" s="91">
        <v>8.2379999999999994E-5</v>
      </c>
      <c r="D319" s="90">
        <v>997625</v>
      </c>
      <c r="E319" s="99">
        <v>82</v>
      </c>
      <c r="F319" s="90">
        <v>997584</v>
      </c>
      <c r="G319" s="96">
        <v>73503638</v>
      </c>
      <c r="H319" s="95">
        <v>73.680000000000007</v>
      </c>
      <c r="I319" s="91">
        <v>1.0249E-4</v>
      </c>
      <c r="J319" s="90">
        <v>997348</v>
      </c>
      <c r="K319" s="98">
        <v>102</v>
      </c>
      <c r="L319" s="90">
        <v>997297</v>
      </c>
      <c r="M319" s="96">
        <v>78932881</v>
      </c>
      <c r="N319" s="95">
        <v>79.14</v>
      </c>
    </row>
    <row r="320" spans="1:14" ht="22.5" customHeight="1">
      <c r="A320" s="108"/>
      <c r="B320" s="93" t="s">
        <v>307</v>
      </c>
      <c r="C320" s="91">
        <v>9.6869999999999999E-5</v>
      </c>
      <c r="D320" s="90">
        <v>997543</v>
      </c>
      <c r="E320" s="99">
        <v>97</v>
      </c>
      <c r="F320" s="90">
        <v>997495</v>
      </c>
      <c r="G320" s="96">
        <v>72506054</v>
      </c>
      <c r="H320" s="95">
        <v>72.680000000000007</v>
      </c>
      <c r="I320" s="91">
        <v>1.0935E-4</v>
      </c>
      <c r="J320" s="90">
        <v>997246</v>
      </c>
      <c r="K320" s="98">
        <v>109</v>
      </c>
      <c r="L320" s="90">
        <v>997192</v>
      </c>
      <c r="M320" s="96">
        <v>77935584</v>
      </c>
      <c r="N320" s="95">
        <v>78.150000000000006</v>
      </c>
    </row>
    <row r="321" spans="1:14" ht="22.5" customHeight="1">
      <c r="A321" s="108"/>
      <c r="B321" s="93" t="s">
        <v>306</v>
      </c>
      <c r="C321" s="91">
        <v>1.1922E-4</v>
      </c>
      <c r="D321" s="90">
        <v>997446</v>
      </c>
      <c r="E321" s="98">
        <v>119</v>
      </c>
      <c r="F321" s="90">
        <v>997387</v>
      </c>
      <c r="G321" s="96">
        <v>71508559</v>
      </c>
      <c r="H321" s="95">
        <v>71.69</v>
      </c>
      <c r="I321" s="91">
        <v>1.1621E-4</v>
      </c>
      <c r="J321" s="90">
        <v>997137</v>
      </c>
      <c r="K321" s="98">
        <v>116</v>
      </c>
      <c r="L321" s="90">
        <v>997079</v>
      </c>
      <c r="M321" s="96">
        <v>76938392</v>
      </c>
      <c r="N321" s="95">
        <v>77.16</v>
      </c>
    </row>
    <row r="322" spans="1:14" ht="22.5" customHeight="1">
      <c r="A322" s="108"/>
      <c r="B322" s="93" t="s">
        <v>305</v>
      </c>
      <c r="C322" s="91">
        <v>1.4908E-4</v>
      </c>
      <c r="D322" s="90">
        <v>997327</v>
      </c>
      <c r="E322" s="98">
        <v>149</v>
      </c>
      <c r="F322" s="90">
        <v>997253</v>
      </c>
      <c r="G322" s="96">
        <v>70511172</v>
      </c>
      <c r="H322" s="95">
        <v>70.7</v>
      </c>
      <c r="I322" s="91">
        <v>1.2228E-4</v>
      </c>
      <c r="J322" s="90">
        <v>997021</v>
      </c>
      <c r="K322" s="98">
        <v>122</v>
      </c>
      <c r="L322" s="90">
        <v>996960</v>
      </c>
      <c r="M322" s="96">
        <v>75941313</v>
      </c>
      <c r="N322" s="95">
        <v>76.17</v>
      </c>
    </row>
    <row r="323" spans="1:14" ht="22.5" customHeight="1">
      <c r="A323" s="108"/>
      <c r="B323" s="93" t="s">
        <v>304</v>
      </c>
      <c r="C323" s="91">
        <v>1.8462E-4</v>
      </c>
      <c r="D323" s="90">
        <v>997178</v>
      </c>
      <c r="E323" s="98">
        <v>184</v>
      </c>
      <c r="F323" s="90">
        <v>997086</v>
      </c>
      <c r="G323" s="96">
        <v>69513919</v>
      </c>
      <c r="H323" s="95">
        <v>69.709999999999994</v>
      </c>
      <c r="I323" s="91">
        <v>1.2721999999999999E-4</v>
      </c>
      <c r="J323" s="90">
        <v>996899</v>
      </c>
      <c r="K323" s="98">
        <v>127</v>
      </c>
      <c r="L323" s="90">
        <v>996836</v>
      </c>
      <c r="M323" s="96">
        <v>74944353</v>
      </c>
      <c r="N323" s="95">
        <v>75.180000000000007</v>
      </c>
    </row>
    <row r="324" spans="1:14" ht="22.5" customHeight="1">
      <c r="A324" s="108"/>
      <c r="B324" s="93" t="s">
        <v>303</v>
      </c>
      <c r="C324" s="91">
        <v>2.231E-4</v>
      </c>
      <c r="D324" s="90">
        <v>996994</v>
      </c>
      <c r="E324" s="98">
        <v>222</v>
      </c>
      <c r="F324" s="90">
        <v>996883</v>
      </c>
      <c r="G324" s="96">
        <v>68516833</v>
      </c>
      <c r="H324" s="95">
        <v>68.72</v>
      </c>
      <c r="I324" s="91">
        <v>1.3108999999999999E-4</v>
      </c>
      <c r="J324" s="90">
        <v>996772</v>
      </c>
      <c r="K324" s="98">
        <v>131</v>
      </c>
      <c r="L324" s="90">
        <v>996707</v>
      </c>
      <c r="M324" s="96">
        <v>73947517</v>
      </c>
      <c r="N324" s="95">
        <v>74.19</v>
      </c>
    </row>
    <row r="325" spans="1:14" ht="22.5" customHeight="1">
      <c r="A325" s="108"/>
      <c r="B325" s="93" t="s">
        <v>302</v>
      </c>
      <c r="C325" s="91">
        <v>2.5823000000000003E-4</v>
      </c>
      <c r="D325" s="90">
        <v>996772</v>
      </c>
      <c r="E325" s="98">
        <v>257</v>
      </c>
      <c r="F325" s="90">
        <v>996644</v>
      </c>
      <c r="G325" s="96">
        <v>67519950</v>
      </c>
      <c r="H325" s="95">
        <v>67.739999999999995</v>
      </c>
      <c r="I325" s="91">
        <v>1.3402999999999999E-4</v>
      </c>
      <c r="J325" s="90">
        <v>996641</v>
      </c>
      <c r="K325" s="98">
        <v>134</v>
      </c>
      <c r="L325" s="90">
        <v>996574</v>
      </c>
      <c r="M325" s="96">
        <v>72950810</v>
      </c>
      <c r="N325" s="95">
        <v>73.2</v>
      </c>
    </row>
    <row r="326" spans="1:14" ht="22.5" customHeight="1">
      <c r="A326" s="108"/>
      <c r="B326" s="93" t="s">
        <v>301</v>
      </c>
      <c r="C326" s="91">
        <v>2.8579000000000001E-4</v>
      </c>
      <c r="D326" s="90">
        <v>996515</v>
      </c>
      <c r="E326" s="98">
        <v>285</v>
      </c>
      <c r="F326" s="90">
        <v>996373</v>
      </c>
      <c r="G326" s="96">
        <v>66523306</v>
      </c>
      <c r="H326" s="95">
        <v>66.760000000000005</v>
      </c>
      <c r="I326" s="91">
        <v>1.3677000000000001E-4</v>
      </c>
      <c r="J326" s="90">
        <v>996507</v>
      </c>
      <c r="K326" s="98">
        <v>136</v>
      </c>
      <c r="L326" s="90">
        <v>996439</v>
      </c>
      <c r="M326" s="96">
        <v>71954236</v>
      </c>
      <c r="N326" s="95">
        <v>72.209999999999994</v>
      </c>
    </row>
    <row r="327" spans="1:14" ht="22.5" customHeight="1">
      <c r="A327" s="108"/>
      <c r="B327" s="93" t="s">
        <v>300</v>
      </c>
      <c r="C327" s="91">
        <v>3.0355999999999997E-4</v>
      </c>
      <c r="D327" s="90">
        <v>996230</v>
      </c>
      <c r="E327" s="98">
        <v>302</v>
      </c>
      <c r="F327" s="90">
        <v>996079</v>
      </c>
      <c r="G327" s="96">
        <v>65526933</v>
      </c>
      <c r="H327" s="95">
        <v>65.77</v>
      </c>
      <c r="I327" s="91">
        <v>1.406E-4</v>
      </c>
      <c r="J327" s="90">
        <v>996371</v>
      </c>
      <c r="K327" s="98">
        <v>140</v>
      </c>
      <c r="L327" s="90">
        <v>996301</v>
      </c>
      <c r="M327" s="96">
        <v>70957797</v>
      </c>
      <c r="N327" s="95">
        <v>71.22</v>
      </c>
    </row>
    <row r="328" spans="1:14" ht="22.5" customHeight="1">
      <c r="A328" s="108"/>
      <c r="B328" s="93" t="s">
        <v>299</v>
      </c>
      <c r="C328" s="91">
        <v>3.1105E-4</v>
      </c>
      <c r="D328" s="90">
        <v>995928</v>
      </c>
      <c r="E328" s="98">
        <v>310</v>
      </c>
      <c r="F328" s="90">
        <v>995773</v>
      </c>
      <c r="G328" s="96">
        <v>64530854</v>
      </c>
      <c r="H328" s="95">
        <v>64.790000000000006</v>
      </c>
      <c r="I328" s="91">
        <v>1.4616999999999999E-4</v>
      </c>
      <c r="J328" s="90">
        <v>996231</v>
      </c>
      <c r="K328" s="98">
        <v>146</v>
      </c>
      <c r="L328" s="90">
        <v>996158</v>
      </c>
      <c r="M328" s="96">
        <v>69961496</v>
      </c>
      <c r="N328" s="95">
        <v>70.23</v>
      </c>
    </row>
    <row r="329" spans="1:14" ht="22.5" customHeight="1">
      <c r="A329" s="108"/>
      <c r="B329" s="93" t="s">
        <v>298</v>
      </c>
      <c r="C329" s="91">
        <v>3.0982999999999998E-4</v>
      </c>
      <c r="D329" s="90">
        <v>995618</v>
      </c>
      <c r="E329" s="98">
        <v>308</v>
      </c>
      <c r="F329" s="90">
        <v>995464</v>
      </c>
      <c r="G329" s="96">
        <v>63535081</v>
      </c>
      <c r="H329" s="95">
        <v>63.81</v>
      </c>
      <c r="I329" s="91">
        <v>1.5410000000000001E-4</v>
      </c>
      <c r="J329" s="90">
        <v>996085</v>
      </c>
      <c r="K329" s="98">
        <v>154</v>
      </c>
      <c r="L329" s="90">
        <v>996008</v>
      </c>
      <c r="M329" s="96">
        <v>68965338</v>
      </c>
      <c r="N329" s="95">
        <v>69.239999999999995</v>
      </c>
    </row>
    <row r="330" spans="1:14" ht="22.5" customHeight="1">
      <c r="A330" s="108"/>
      <c r="B330" s="93" t="s">
        <v>297</v>
      </c>
      <c r="C330" s="91">
        <v>3.0442000000000002E-4</v>
      </c>
      <c r="D330" s="90">
        <v>995310</v>
      </c>
      <c r="E330" s="98">
        <v>303</v>
      </c>
      <c r="F330" s="90">
        <v>995159</v>
      </c>
      <c r="G330" s="96">
        <v>62539617</v>
      </c>
      <c r="H330" s="95">
        <v>62.83</v>
      </c>
      <c r="I330" s="91">
        <v>1.6644000000000001E-4</v>
      </c>
      <c r="J330" s="90">
        <v>995931</v>
      </c>
      <c r="K330" s="98">
        <v>166</v>
      </c>
      <c r="L330" s="90">
        <v>995848</v>
      </c>
      <c r="M330" s="96">
        <v>67969330</v>
      </c>
      <c r="N330" s="95">
        <v>68.25</v>
      </c>
    </row>
    <row r="331" spans="1:14" ht="22.5" customHeight="1">
      <c r="A331" s="108"/>
      <c r="B331" s="93" t="s">
        <v>296</v>
      </c>
      <c r="C331" s="91">
        <v>3.0009999999999998E-4</v>
      </c>
      <c r="D331" s="90">
        <v>995007</v>
      </c>
      <c r="E331" s="98">
        <v>299</v>
      </c>
      <c r="F331" s="90">
        <v>994858</v>
      </c>
      <c r="G331" s="96">
        <v>61544458</v>
      </c>
      <c r="H331" s="95">
        <v>61.85</v>
      </c>
      <c r="I331" s="91">
        <v>1.8384E-4</v>
      </c>
      <c r="J331" s="90">
        <v>995765</v>
      </c>
      <c r="K331" s="98">
        <v>183</v>
      </c>
      <c r="L331" s="90">
        <v>995674</v>
      </c>
      <c r="M331" s="96">
        <v>66973482</v>
      </c>
      <c r="N331" s="95">
        <v>67.260000000000005</v>
      </c>
    </row>
    <row r="332" spans="1:14" ht="22.5" customHeight="1">
      <c r="A332" s="108"/>
      <c r="B332" s="93" t="s">
        <v>295</v>
      </c>
      <c r="C332" s="91">
        <v>3.0280999999999998E-4</v>
      </c>
      <c r="D332" s="90">
        <v>994708</v>
      </c>
      <c r="E332" s="98">
        <v>301</v>
      </c>
      <c r="F332" s="90">
        <v>994558</v>
      </c>
      <c r="G332" s="96">
        <v>60549600</v>
      </c>
      <c r="H332" s="95">
        <v>60.87</v>
      </c>
      <c r="I332" s="91">
        <v>2.0557E-4</v>
      </c>
      <c r="J332" s="90">
        <v>995582</v>
      </c>
      <c r="K332" s="98">
        <v>205</v>
      </c>
      <c r="L332" s="90">
        <v>995480</v>
      </c>
      <c r="M332" s="96">
        <v>65977808</v>
      </c>
      <c r="N332" s="95">
        <v>66.27</v>
      </c>
    </row>
    <row r="333" spans="1:14" ht="22.5" customHeight="1">
      <c r="A333" s="108"/>
      <c r="B333" s="93" t="s">
        <v>294</v>
      </c>
      <c r="C333" s="91">
        <v>3.1492E-4</v>
      </c>
      <c r="D333" s="90">
        <v>994407</v>
      </c>
      <c r="E333" s="98">
        <v>313</v>
      </c>
      <c r="F333" s="90">
        <v>994251</v>
      </c>
      <c r="G333" s="96">
        <v>59555042</v>
      </c>
      <c r="H333" s="95">
        <v>59.89</v>
      </c>
      <c r="I333" s="91">
        <v>2.3068000000000001E-4</v>
      </c>
      <c r="J333" s="90">
        <v>995377</v>
      </c>
      <c r="K333" s="98">
        <v>230</v>
      </c>
      <c r="L333" s="90">
        <v>995262</v>
      </c>
      <c r="M333" s="96">
        <v>64982328</v>
      </c>
      <c r="N333" s="95">
        <v>65.28</v>
      </c>
    </row>
    <row r="334" spans="1:14" ht="22.5" customHeight="1">
      <c r="A334" s="108"/>
      <c r="B334" s="93" t="s">
        <v>293</v>
      </c>
      <c r="C334" s="91">
        <v>3.3712E-4</v>
      </c>
      <c r="D334" s="90">
        <v>994094</v>
      </c>
      <c r="E334" s="98">
        <v>335</v>
      </c>
      <c r="F334" s="90">
        <v>993927</v>
      </c>
      <c r="G334" s="96">
        <v>58560791</v>
      </c>
      <c r="H334" s="95">
        <v>58.91</v>
      </c>
      <c r="I334" s="91">
        <v>2.5754E-4</v>
      </c>
      <c r="J334" s="90">
        <v>995147</v>
      </c>
      <c r="K334" s="98">
        <v>256</v>
      </c>
      <c r="L334" s="90">
        <v>995019</v>
      </c>
      <c r="M334" s="96">
        <v>63987066</v>
      </c>
      <c r="N334" s="95">
        <v>64.3</v>
      </c>
    </row>
    <row r="335" spans="1:14" ht="22.5" customHeight="1">
      <c r="A335" s="108"/>
      <c r="B335" s="93" t="s">
        <v>292</v>
      </c>
      <c r="C335" s="91">
        <v>3.6846999999999997E-4</v>
      </c>
      <c r="D335" s="90">
        <v>993759</v>
      </c>
      <c r="E335" s="98">
        <v>366</v>
      </c>
      <c r="F335" s="90">
        <v>993576</v>
      </c>
      <c r="G335" s="96">
        <v>57566864</v>
      </c>
      <c r="H335" s="95">
        <v>57.93</v>
      </c>
      <c r="I335" s="91">
        <v>2.8196999999999999E-4</v>
      </c>
      <c r="J335" s="90">
        <v>994891</v>
      </c>
      <c r="K335" s="98">
        <v>281</v>
      </c>
      <c r="L335" s="90">
        <v>994751</v>
      </c>
      <c r="M335" s="96">
        <v>62992047</v>
      </c>
      <c r="N335" s="95">
        <v>63.32</v>
      </c>
    </row>
    <row r="336" spans="1:14" ht="22.5" customHeight="1">
      <c r="A336" s="108"/>
      <c r="B336" s="93" t="s">
        <v>291</v>
      </c>
      <c r="C336" s="91">
        <v>4.0611E-4</v>
      </c>
      <c r="D336" s="90">
        <v>993393</v>
      </c>
      <c r="E336" s="98">
        <v>403</v>
      </c>
      <c r="F336" s="90">
        <v>993192</v>
      </c>
      <c r="G336" s="96">
        <v>56573288</v>
      </c>
      <c r="H336" s="95">
        <v>56.95</v>
      </c>
      <c r="I336" s="91">
        <v>3.0111E-4</v>
      </c>
      <c r="J336" s="90">
        <v>994610</v>
      </c>
      <c r="K336" s="98">
        <v>299</v>
      </c>
      <c r="L336" s="90">
        <v>994461</v>
      </c>
      <c r="M336" s="96">
        <v>61997296</v>
      </c>
      <c r="N336" s="95">
        <v>62.33</v>
      </c>
    </row>
    <row r="337" spans="1:14" ht="22.5" customHeight="1">
      <c r="A337" s="108"/>
      <c r="B337" s="93" t="s">
        <v>290</v>
      </c>
      <c r="C337" s="91">
        <v>4.4526E-4</v>
      </c>
      <c r="D337" s="90">
        <v>992990</v>
      </c>
      <c r="E337" s="98">
        <v>442</v>
      </c>
      <c r="F337" s="90">
        <v>992769</v>
      </c>
      <c r="G337" s="96">
        <v>55580096</v>
      </c>
      <c r="H337" s="95">
        <v>55.97</v>
      </c>
      <c r="I337" s="91">
        <v>3.1334000000000001E-4</v>
      </c>
      <c r="J337" s="90">
        <v>994311</v>
      </c>
      <c r="K337" s="98">
        <v>312</v>
      </c>
      <c r="L337" s="90">
        <v>994155</v>
      </c>
      <c r="M337" s="96">
        <v>61002835</v>
      </c>
      <c r="N337" s="95">
        <v>61.35</v>
      </c>
    </row>
    <row r="338" spans="1:14" ht="22.5" customHeight="1">
      <c r="A338" s="108"/>
      <c r="B338" s="93" t="s">
        <v>289</v>
      </c>
      <c r="C338" s="91">
        <v>4.8446999999999997E-4</v>
      </c>
      <c r="D338" s="90">
        <v>992548</v>
      </c>
      <c r="E338" s="98">
        <v>481</v>
      </c>
      <c r="F338" s="90">
        <v>992308</v>
      </c>
      <c r="G338" s="96">
        <v>54587327</v>
      </c>
      <c r="H338" s="95">
        <v>55</v>
      </c>
      <c r="I338" s="91">
        <v>3.1845000000000002E-4</v>
      </c>
      <c r="J338" s="90">
        <v>993999</v>
      </c>
      <c r="K338" s="98">
        <v>317</v>
      </c>
      <c r="L338" s="90">
        <v>993841</v>
      </c>
      <c r="M338" s="96">
        <v>60008680</v>
      </c>
      <c r="N338" s="95">
        <v>60.37</v>
      </c>
    </row>
    <row r="339" spans="1:14" ht="22.5" customHeight="1">
      <c r="A339" s="108"/>
      <c r="B339" s="93" t="s">
        <v>288</v>
      </c>
      <c r="C339" s="91">
        <v>5.2287999999999998E-4</v>
      </c>
      <c r="D339" s="90">
        <v>992067</v>
      </c>
      <c r="E339" s="98">
        <v>519</v>
      </c>
      <c r="F339" s="90">
        <v>991808</v>
      </c>
      <c r="G339" s="96">
        <v>53595019</v>
      </c>
      <c r="H339" s="95">
        <v>54.02</v>
      </c>
      <c r="I339" s="91">
        <v>3.1763000000000001E-4</v>
      </c>
      <c r="J339" s="90">
        <v>993682</v>
      </c>
      <c r="K339" s="98">
        <v>316</v>
      </c>
      <c r="L339" s="90">
        <v>993524</v>
      </c>
      <c r="M339" s="96">
        <v>59014839</v>
      </c>
      <c r="N339" s="95">
        <v>59.39</v>
      </c>
    </row>
    <row r="340" spans="1:14" ht="22.5" customHeight="1">
      <c r="A340" s="108"/>
      <c r="B340" s="93" t="s">
        <v>287</v>
      </c>
      <c r="C340" s="91">
        <v>5.5917E-4</v>
      </c>
      <c r="D340" s="90">
        <v>991548</v>
      </c>
      <c r="E340" s="98">
        <v>554</v>
      </c>
      <c r="F340" s="90">
        <v>991271</v>
      </c>
      <c r="G340" s="96">
        <v>52603211</v>
      </c>
      <c r="H340" s="95">
        <v>53.05</v>
      </c>
      <c r="I340" s="91">
        <v>3.1370999999999998E-4</v>
      </c>
      <c r="J340" s="90">
        <v>993366</v>
      </c>
      <c r="K340" s="98">
        <v>312</v>
      </c>
      <c r="L340" s="90">
        <v>993210</v>
      </c>
      <c r="M340" s="96">
        <v>58021315</v>
      </c>
      <c r="N340" s="95">
        <v>58.41</v>
      </c>
    </row>
    <row r="341" spans="1:14" ht="22.5" customHeight="1">
      <c r="A341" s="108"/>
      <c r="B341" s="93" t="s">
        <v>286</v>
      </c>
      <c r="C341" s="91">
        <v>5.9367000000000003E-4</v>
      </c>
      <c r="D341" s="90">
        <v>990994</v>
      </c>
      <c r="E341" s="98">
        <v>588</v>
      </c>
      <c r="F341" s="90">
        <v>990700</v>
      </c>
      <c r="G341" s="96">
        <v>51611940</v>
      </c>
      <c r="H341" s="95">
        <v>52.08</v>
      </c>
      <c r="I341" s="91">
        <v>3.1021E-4</v>
      </c>
      <c r="J341" s="90">
        <v>993054</v>
      </c>
      <c r="K341" s="98">
        <v>308</v>
      </c>
      <c r="L341" s="90">
        <v>992900</v>
      </c>
      <c r="M341" s="96">
        <v>57028105</v>
      </c>
      <c r="N341" s="95">
        <v>57.43</v>
      </c>
    </row>
    <row r="342" spans="1:14" ht="22.5" customHeight="1">
      <c r="A342" s="108"/>
      <c r="B342" s="93" t="s">
        <v>285</v>
      </c>
      <c r="C342" s="91">
        <v>6.2838E-4</v>
      </c>
      <c r="D342" s="90">
        <v>990406</v>
      </c>
      <c r="E342" s="98">
        <v>622</v>
      </c>
      <c r="F342" s="90">
        <v>990095</v>
      </c>
      <c r="G342" s="96">
        <v>50621240</v>
      </c>
      <c r="H342" s="95">
        <v>51.11</v>
      </c>
      <c r="I342" s="91">
        <v>3.1137E-4</v>
      </c>
      <c r="J342" s="90">
        <v>992746</v>
      </c>
      <c r="K342" s="98">
        <v>309</v>
      </c>
      <c r="L342" s="90">
        <v>992592</v>
      </c>
      <c r="M342" s="96">
        <v>56035205</v>
      </c>
      <c r="N342" s="95">
        <v>56.44</v>
      </c>
    </row>
    <row r="343" spans="1:14" ht="22.5" customHeight="1">
      <c r="A343" s="108"/>
      <c r="B343" s="93" t="s">
        <v>284</v>
      </c>
      <c r="C343" s="91">
        <v>6.6432000000000004E-4</v>
      </c>
      <c r="D343" s="90">
        <v>989784</v>
      </c>
      <c r="E343" s="98">
        <v>658</v>
      </c>
      <c r="F343" s="90">
        <v>989455</v>
      </c>
      <c r="G343" s="96">
        <v>49631145</v>
      </c>
      <c r="H343" s="95">
        <v>50.14</v>
      </c>
      <c r="I343" s="91">
        <v>3.1915999999999997E-4</v>
      </c>
      <c r="J343" s="90">
        <v>992437</v>
      </c>
      <c r="K343" s="98">
        <v>317</v>
      </c>
      <c r="L343" s="90">
        <v>992279</v>
      </c>
      <c r="M343" s="96">
        <v>55042613</v>
      </c>
      <c r="N343" s="95">
        <v>55.46</v>
      </c>
    </row>
    <row r="344" spans="1:14" ht="22.5" customHeight="1">
      <c r="A344" s="108"/>
      <c r="B344" s="93" t="s">
        <v>283</v>
      </c>
      <c r="C344" s="91">
        <v>7.0282000000000005E-4</v>
      </c>
      <c r="D344" s="90">
        <v>989126</v>
      </c>
      <c r="E344" s="98">
        <v>695</v>
      </c>
      <c r="F344" s="90">
        <v>988779</v>
      </c>
      <c r="G344" s="96">
        <v>48641690</v>
      </c>
      <c r="H344" s="95">
        <v>49.18</v>
      </c>
      <c r="I344" s="91">
        <v>3.3452999999999998E-4</v>
      </c>
      <c r="J344" s="90">
        <v>992120</v>
      </c>
      <c r="K344" s="98">
        <v>332</v>
      </c>
      <c r="L344" s="90">
        <v>991954</v>
      </c>
      <c r="M344" s="96">
        <v>54050334</v>
      </c>
      <c r="N344" s="95">
        <v>54.48</v>
      </c>
    </row>
    <row r="345" spans="1:14" ht="22.5" customHeight="1">
      <c r="A345" s="108"/>
      <c r="B345" s="93" t="s">
        <v>282</v>
      </c>
      <c r="C345" s="91">
        <v>7.4293000000000004E-4</v>
      </c>
      <c r="D345" s="90">
        <v>988431</v>
      </c>
      <c r="E345" s="98">
        <v>734</v>
      </c>
      <c r="F345" s="90">
        <v>988064</v>
      </c>
      <c r="G345" s="96">
        <v>47652911</v>
      </c>
      <c r="H345" s="95">
        <v>48.21</v>
      </c>
      <c r="I345" s="91">
        <v>3.5702999999999999E-4</v>
      </c>
      <c r="J345" s="90">
        <v>991788</v>
      </c>
      <c r="K345" s="98">
        <v>354</v>
      </c>
      <c r="L345" s="90">
        <v>991611</v>
      </c>
      <c r="M345" s="96">
        <v>53058380</v>
      </c>
      <c r="N345" s="95">
        <v>53.5</v>
      </c>
    </row>
    <row r="346" spans="1:14" ht="22.5" customHeight="1">
      <c r="A346" s="108"/>
      <c r="B346" s="93" t="s">
        <v>281</v>
      </c>
      <c r="C346" s="91">
        <v>7.8529000000000001E-4</v>
      </c>
      <c r="D346" s="90">
        <v>987697</v>
      </c>
      <c r="E346" s="98">
        <v>776</v>
      </c>
      <c r="F346" s="90">
        <v>987309</v>
      </c>
      <c r="G346" s="96">
        <v>46664847</v>
      </c>
      <c r="H346" s="95">
        <v>47.25</v>
      </c>
      <c r="I346" s="91">
        <v>3.8510999999999998E-4</v>
      </c>
      <c r="J346" s="90">
        <v>991434</v>
      </c>
      <c r="K346" s="98">
        <v>382</v>
      </c>
      <c r="L346" s="90">
        <v>991243</v>
      </c>
      <c r="M346" s="96">
        <v>52066769</v>
      </c>
      <c r="N346" s="95">
        <v>52.52</v>
      </c>
    </row>
    <row r="347" spans="1:14" ht="22.5" customHeight="1">
      <c r="A347" s="108"/>
      <c r="B347" s="93" t="s">
        <v>280</v>
      </c>
      <c r="C347" s="91">
        <v>8.3212E-4</v>
      </c>
      <c r="D347" s="90">
        <v>986921</v>
      </c>
      <c r="E347" s="98">
        <v>821</v>
      </c>
      <c r="F347" s="90">
        <v>986511</v>
      </c>
      <c r="G347" s="96">
        <v>45677538</v>
      </c>
      <c r="H347" s="95">
        <v>46.28</v>
      </c>
      <c r="I347" s="91">
        <v>4.1611000000000003E-4</v>
      </c>
      <c r="J347" s="90">
        <v>991052</v>
      </c>
      <c r="K347" s="98">
        <v>412</v>
      </c>
      <c r="L347" s="90">
        <v>990846</v>
      </c>
      <c r="M347" s="96">
        <v>51075526</v>
      </c>
      <c r="N347" s="95">
        <v>51.54</v>
      </c>
    </row>
    <row r="348" spans="1:14" ht="22.5" customHeight="1">
      <c r="A348" s="108"/>
      <c r="B348" s="93" t="s">
        <v>279</v>
      </c>
      <c r="C348" s="91">
        <v>8.8648999999999998E-4</v>
      </c>
      <c r="D348" s="90">
        <v>986100</v>
      </c>
      <c r="E348" s="98">
        <v>874</v>
      </c>
      <c r="F348" s="90">
        <v>985663</v>
      </c>
      <c r="G348" s="96">
        <v>44691027</v>
      </c>
      <c r="H348" s="95">
        <v>45.32</v>
      </c>
      <c r="I348" s="91">
        <v>4.4977E-4</v>
      </c>
      <c r="J348" s="90">
        <v>990640</v>
      </c>
      <c r="K348" s="98">
        <v>446</v>
      </c>
      <c r="L348" s="90">
        <v>990417</v>
      </c>
      <c r="M348" s="96">
        <v>50084680</v>
      </c>
      <c r="N348" s="95">
        <v>50.56</v>
      </c>
    </row>
    <row r="349" spans="1:14" ht="22.5" customHeight="1">
      <c r="A349" s="108"/>
      <c r="B349" s="93" t="s">
        <v>278</v>
      </c>
      <c r="C349" s="91">
        <v>9.5204999999999997E-4</v>
      </c>
      <c r="D349" s="90">
        <v>985226</v>
      </c>
      <c r="E349" s="98">
        <v>938</v>
      </c>
      <c r="F349" s="90">
        <v>984757</v>
      </c>
      <c r="G349" s="96">
        <v>43705364</v>
      </c>
      <c r="H349" s="95">
        <v>44.36</v>
      </c>
      <c r="I349" s="91">
        <v>4.8622999999999998E-4</v>
      </c>
      <c r="J349" s="90">
        <v>990194</v>
      </c>
      <c r="K349" s="98">
        <v>481</v>
      </c>
      <c r="L349" s="90">
        <v>989954</v>
      </c>
      <c r="M349" s="96">
        <v>49094263</v>
      </c>
      <c r="N349" s="95">
        <v>49.58</v>
      </c>
    </row>
    <row r="350" spans="1:14" ht="22.5" customHeight="1">
      <c r="A350" s="108"/>
      <c r="B350" s="93" t="s">
        <v>277</v>
      </c>
      <c r="C350" s="91">
        <v>1.0347399999999999E-3</v>
      </c>
      <c r="D350" s="90">
        <v>984288</v>
      </c>
      <c r="E350" s="97">
        <v>1018</v>
      </c>
      <c r="F350" s="90">
        <v>983779</v>
      </c>
      <c r="G350" s="96">
        <v>42720607</v>
      </c>
      <c r="H350" s="95">
        <v>43.4</v>
      </c>
      <c r="I350" s="91">
        <v>5.2483E-4</v>
      </c>
      <c r="J350" s="90">
        <v>989713</v>
      </c>
      <c r="K350" s="98">
        <v>519</v>
      </c>
      <c r="L350" s="90">
        <v>989454</v>
      </c>
      <c r="M350" s="96">
        <v>48104309</v>
      </c>
      <c r="N350" s="95">
        <v>48.6</v>
      </c>
    </row>
    <row r="351" spans="1:14" ht="22.5" customHeight="1">
      <c r="A351" s="108"/>
      <c r="B351" s="93" t="s">
        <v>276</v>
      </c>
      <c r="C351" s="91">
        <v>1.13831E-3</v>
      </c>
      <c r="D351" s="90">
        <v>983270</v>
      </c>
      <c r="E351" s="97">
        <v>1119</v>
      </c>
      <c r="F351" s="90">
        <v>982711</v>
      </c>
      <c r="G351" s="96">
        <v>41736828</v>
      </c>
      <c r="H351" s="95">
        <v>42.45</v>
      </c>
      <c r="I351" s="91">
        <v>5.6607000000000001E-4</v>
      </c>
      <c r="J351" s="90">
        <v>989194</v>
      </c>
      <c r="K351" s="98">
        <v>560</v>
      </c>
      <c r="L351" s="90">
        <v>988914</v>
      </c>
      <c r="M351" s="96">
        <v>47114855</v>
      </c>
      <c r="N351" s="95">
        <v>47.63</v>
      </c>
    </row>
    <row r="352" spans="1:14" ht="22.5" customHeight="1">
      <c r="A352" s="108"/>
      <c r="B352" s="93" t="s">
        <v>275</v>
      </c>
      <c r="C352" s="91">
        <v>1.2642700000000001E-3</v>
      </c>
      <c r="D352" s="90">
        <v>982151</v>
      </c>
      <c r="E352" s="97">
        <v>1242</v>
      </c>
      <c r="F352" s="90">
        <v>981530</v>
      </c>
      <c r="G352" s="96">
        <v>40754117</v>
      </c>
      <c r="H352" s="95">
        <v>41.49</v>
      </c>
      <c r="I352" s="91">
        <v>6.1160999999999995E-4</v>
      </c>
      <c r="J352" s="90">
        <v>988634</v>
      </c>
      <c r="K352" s="98">
        <v>605</v>
      </c>
      <c r="L352" s="90">
        <v>988332</v>
      </c>
      <c r="M352" s="96">
        <v>46125941</v>
      </c>
      <c r="N352" s="95">
        <v>46.66</v>
      </c>
    </row>
    <row r="353" spans="1:14" ht="22.5" customHeight="1">
      <c r="A353" s="108"/>
      <c r="B353" s="93" t="s">
        <v>274</v>
      </c>
      <c r="C353" s="91">
        <v>1.4137500000000001E-3</v>
      </c>
      <c r="D353" s="90">
        <v>980909</v>
      </c>
      <c r="E353" s="97">
        <v>1387</v>
      </c>
      <c r="F353" s="90">
        <v>980216</v>
      </c>
      <c r="G353" s="96">
        <v>39772587</v>
      </c>
      <c r="H353" s="95">
        <v>40.549999999999997</v>
      </c>
      <c r="I353" s="91">
        <v>6.6288000000000002E-4</v>
      </c>
      <c r="J353" s="90">
        <v>988029</v>
      </c>
      <c r="K353" s="98">
        <v>655</v>
      </c>
      <c r="L353" s="90">
        <v>987702</v>
      </c>
      <c r="M353" s="96">
        <v>45137609</v>
      </c>
      <c r="N353" s="95">
        <v>45.68</v>
      </c>
    </row>
    <row r="354" spans="1:14" ht="22.5" customHeight="1">
      <c r="A354" s="108"/>
      <c r="B354" s="93" t="s">
        <v>273</v>
      </c>
      <c r="C354" s="91">
        <v>1.5861E-3</v>
      </c>
      <c r="D354" s="90">
        <v>979522</v>
      </c>
      <c r="E354" s="97">
        <v>1554</v>
      </c>
      <c r="F354" s="90">
        <v>978745</v>
      </c>
      <c r="G354" s="96">
        <v>38792371</v>
      </c>
      <c r="H354" s="95">
        <v>39.6</v>
      </c>
      <c r="I354" s="91">
        <v>7.2154999999999995E-4</v>
      </c>
      <c r="J354" s="90">
        <v>987374</v>
      </c>
      <c r="K354" s="98">
        <v>712</v>
      </c>
      <c r="L354" s="90">
        <v>987018</v>
      </c>
      <c r="M354" s="96">
        <v>44149907</v>
      </c>
      <c r="N354" s="95">
        <v>44.71</v>
      </c>
    </row>
    <row r="355" spans="1:14" ht="22.5" customHeight="1">
      <c r="A355" s="108"/>
      <c r="B355" s="93" t="s">
        <v>272</v>
      </c>
      <c r="C355" s="91">
        <v>1.7798099999999999E-3</v>
      </c>
      <c r="D355" s="90">
        <v>977968</v>
      </c>
      <c r="E355" s="97">
        <v>1741</v>
      </c>
      <c r="F355" s="90">
        <v>977098</v>
      </c>
      <c r="G355" s="96">
        <v>37813626</v>
      </c>
      <c r="H355" s="95">
        <v>38.67</v>
      </c>
      <c r="I355" s="91">
        <v>7.9022999999999995E-4</v>
      </c>
      <c r="J355" s="90">
        <v>986662</v>
      </c>
      <c r="K355" s="98">
        <v>780</v>
      </c>
      <c r="L355" s="90">
        <v>986272</v>
      </c>
      <c r="M355" s="96">
        <v>43162889</v>
      </c>
      <c r="N355" s="95">
        <v>43.75</v>
      </c>
    </row>
    <row r="356" spans="1:14" ht="22.5" customHeight="1">
      <c r="A356" s="108"/>
      <c r="B356" s="93" t="s">
        <v>271</v>
      </c>
      <c r="C356" s="91">
        <v>1.9912900000000002E-3</v>
      </c>
      <c r="D356" s="90">
        <v>976227</v>
      </c>
      <c r="E356" s="97">
        <v>1944</v>
      </c>
      <c r="F356" s="90">
        <v>975255</v>
      </c>
      <c r="G356" s="96">
        <v>36836528</v>
      </c>
      <c r="H356" s="95">
        <v>37.729999999999997</v>
      </c>
      <c r="I356" s="91">
        <v>8.7060000000000002E-4</v>
      </c>
      <c r="J356" s="90">
        <v>985882</v>
      </c>
      <c r="K356" s="98">
        <v>858</v>
      </c>
      <c r="L356" s="90">
        <v>985453</v>
      </c>
      <c r="M356" s="96">
        <v>42176617</v>
      </c>
      <c r="N356" s="95">
        <v>42.78</v>
      </c>
    </row>
    <row r="357" spans="1:14" ht="22.5" customHeight="1">
      <c r="A357" s="108"/>
      <c r="B357" s="93" t="s">
        <v>270</v>
      </c>
      <c r="C357" s="91">
        <v>2.2148200000000002E-3</v>
      </c>
      <c r="D357" s="90">
        <v>974283</v>
      </c>
      <c r="E357" s="97">
        <v>2158</v>
      </c>
      <c r="F357" s="90">
        <v>973204</v>
      </c>
      <c r="G357" s="96">
        <v>35861273</v>
      </c>
      <c r="H357" s="95">
        <v>36.81</v>
      </c>
      <c r="I357" s="91">
        <v>9.6336999999999996E-4</v>
      </c>
      <c r="J357" s="90">
        <v>985024</v>
      </c>
      <c r="K357" s="98">
        <v>949</v>
      </c>
      <c r="L357" s="90">
        <v>984550</v>
      </c>
      <c r="M357" s="96">
        <v>41191164</v>
      </c>
      <c r="N357" s="95">
        <v>41.82</v>
      </c>
    </row>
    <row r="358" spans="1:14" ht="22.5" customHeight="1">
      <c r="A358" s="108"/>
      <c r="B358" s="93" t="s">
        <v>269</v>
      </c>
      <c r="C358" s="91">
        <v>2.4474599999999998E-3</v>
      </c>
      <c r="D358" s="90">
        <v>972125</v>
      </c>
      <c r="E358" s="97">
        <v>2379</v>
      </c>
      <c r="F358" s="90">
        <v>970936</v>
      </c>
      <c r="G358" s="96">
        <v>34888069</v>
      </c>
      <c r="H358" s="95">
        <v>35.89</v>
      </c>
      <c r="I358" s="91">
        <v>1.0691400000000001E-3</v>
      </c>
      <c r="J358" s="90">
        <v>984075</v>
      </c>
      <c r="K358" s="97">
        <v>1052</v>
      </c>
      <c r="L358" s="90">
        <v>983549</v>
      </c>
      <c r="M358" s="96">
        <v>40206614</v>
      </c>
      <c r="N358" s="95">
        <v>40.86</v>
      </c>
    </row>
    <row r="359" spans="1:14" ht="22.5" customHeight="1">
      <c r="A359" s="108"/>
      <c r="B359" s="93" t="s">
        <v>268</v>
      </c>
      <c r="C359" s="91">
        <v>2.6868700000000001E-3</v>
      </c>
      <c r="D359" s="90">
        <v>969746</v>
      </c>
      <c r="E359" s="97">
        <v>2606</v>
      </c>
      <c r="F359" s="90">
        <v>968443</v>
      </c>
      <c r="G359" s="96">
        <v>33917133</v>
      </c>
      <c r="H359" s="95">
        <v>34.979999999999997</v>
      </c>
      <c r="I359" s="91">
        <v>1.1877400000000001E-3</v>
      </c>
      <c r="J359" s="90">
        <v>983023</v>
      </c>
      <c r="K359" s="97">
        <v>1168</v>
      </c>
      <c r="L359" s="90">
        <v>982439</v>
      </c>
      <c r="M359" s="96">
        <v>39223065</v>
      </c>
      <c r="N359" s="95">
        <v>39.9</v>
      </c>
    </row>
    <row r="360" spans="1:14" ht="22.5" customHeight="1">
      <c r="A360" s="108"/>
      <c r="B360" s="93" t="s">
        <v>267</v>
      </c>
      <c r="C360" s="91">
        <v>2.92384E-3</v>
      </c>
      <c r="D360" s="90">
        <v>967140</v>
      </c>
      <c r="E360" s="97">
        <v>2828</v>
      </c>
      <c r="F360" s="90">
        <v>965726</v>
      </c>
      <c r="G360" s="96">
        <v>32948690</v>
      </c>
      <c r="H360" s="95">
        <v>34.07</v>
      </c>
      <c r="I360" s="91">
        <v>1.31766E-3</v>
      </c>
      <c r="J360" s="90">
        <v>981855</v>
      </c>
      <c r="K360" s="97">
        <v>1294</v>
      </c>
      <c r="L360" s="90">
        <v>981208</v>
      </c>
      <c r="M360" s="96">
        <v>38240626</v>
      </c>
      <c r="N360" s="95">
        <v>38.950000000000003</v>
      </c>
    </row>
    <row r="361" spans="1:14" ht="22.5" customHeight="1">
      <c r="A361" s="108"/>
      <c r="B361" s="93" t="s">
        <v>266</v>
      </c>
      <c r="C361" s="91">
        <v>3.1559499999999998E-3</v>
      </c>
      <c r="D361" s="90">
        <v>964312</v>
      </c>
      <c r="E361" s="97">
        <v>3043</v>
      </c>
      <c r="F361" s="90">
        <v>962791</v>
      </c>
      <c r="G361" s="96">
        <v>31982964</v>
      </c>
      <c r="H361" s="95">
        <v>33.17</v>
      </c>
      <c r="I361" s="91">
        <v>1.4570900000000001E-3</v>
      </c>
      <c r="J361" s="90">
        <v>980561</v>
      </c>
      <c r="K361" s="97">
        <v>1429</v>
      </c>
      <c r="L361" s="90">
        <v>979847</v>
      </c>
      <c r="M361" s="96">
        <v>37259418</v>
      </c>
      <c r="N361" s="95">
        <v>38</v>
      </c>
    </row>
    <row r="362" spans="1:14" ht="22.5" customHeight="1">
      <c r="A362" s="108"/>
      <c r="B362" s="93" t="s">
        <v>265</v>
      </c>
      <c r="C362" s="91">
        <v>3.3874700000000001E-3</v>
      </c>
      <c r="D362" s="90">
        <v>961269</v>
      </c>
      <c r="E362" s="97">
        <v>3256</v>
      </c>
      <c r="F362" s="90">
        <v>959641</v>
      </c>
      <c r="G362" s="96">
        <v>31020173</v>
      </c>
      <c r="H362" s="95">
        <v>32.270000000000003</v>
      </c>
      <c r="I362" s="91">
        <v>1.60396E-3</v>
      </c>
      <c r="J362" s="90">
        <v>979132</v>
      </c>
      <c r="K362" s="97">
        <v>1570</v>
      </c>
      <c r="L362" s="90">
        <v>978347</v>
      </c>
      <c r="M362" s="96">
        <v>36279571</v>
      </c>
      <c r="N362" s="95">
        <v>37.049999999999997</v>
      </c>
    </row>
    <row r="363" spans="1:14" ht="22.5" customHeight="1">
      <c r="A363" s="108"/>
      <c r="B363" s="93" t="s">
        <v>264</v>
      </c>
      <c r="C363" s="91">
        <v>3.6235600000000001E-3</v>
      </c>
      <c r="D363" s="90">
        <v>958013</v>
      </c>
      <c r="E363" s="97">
        <v>3471</v>
      </c>
      <c r="F363" s="90">
        <v>956278</v>
      </c>
      <c r="G363" s="96">
        <v>30060532</v>
      </c>
      <c r="H363" s="95">
        <v>31.38</v>
      </c>
      <c r="I363" s="91">
        <v>1.7577700000000001E-3</v>
      </c>
      <c r="J363" s="90">
        <v>977562</v>
      </c>
      <c r="K363" s="97">
        <v>1718</v>
      </c>
      <c r="L363" s="90">
        <v>976703</v>
      </c>
      <c r="M363" s="96">
        <v>35301224</v>
      </c>
      <c r="N363" s="95">
        <v>36.11</v>
      </c>
    </row>
    <row r="364" spans="1:14" ht="22.5" customHeight="1">
      <c r="A364" s="108"/>
      <c r="B364" s="93" t="s">
        <v>263</v>
      </c>
      <c r="C364" s="91">
        <v>3.8724699999999998E-3</v>
      </c>
      <c r="D364" s="90">
        <v>954542</v>
      </c>
      <c r="E364" s="97">
        <v>3696</v>
      </c>
      <c r="F364" s="90">
        <v>952694</v>
      </c>
      <c r="G364" s="96">
        <v>29104254</v>
      </c>
      <c r="H364" s="95">
        <v>30.49</v>
      </c>
      <c r="I364" s="91">
        <v>1.9186400000000001E-3</v>
      </c>
      <c r="J364" s="90">
        <v>975844</v>
      </c>
      <c r="K364" s="97">
        <v>1872</v>
      </c>
      <c r="L364" s="90">
        <v>974908</v>
      </c>
      <c r="M364" s="96">
        <v>34324521</v>
      </c>
      <c r="N364" s="95">
        <v>35.17</v>
      </c>
    </row>
    <row r="365" spans="1:14" ht="22.5" customHeight="1">
      <c r="A365" s="108"/>
      <c r="B365" s="93" t="s">
        <v>262</v>
      </c>
      <c r="C365" s="91">
        <v>4.1453499999999999E-3</v>
      </c>
      <c r="D365" s="90">
        <v>950846</v>
      </c>
      <c r="E365" s="97">
        <v>3942</v>
      </c>
      <c r="F365" s="90">
        <v>948875</v>
      </c>
      <c r="G365" s="96">
        <v>28151560</v>
      </c>
      <c r="H365" s="95">
        <v>29.61</v>
      </c>
      <c r="I365" s="91">
        <v>2.0857200000000001E-3</v>
      </c>
      <c r="J365" s="90">
        <v>973972</v>
      </c>
      <c r="K365" s="97">
        <v>2031</v>
      </c>
      <c r="L365" s="90">
        <v>972957</v>
      </c>
      <c r="M365" s="96">
        <v>33349613</v>
      </c>
      <c r="N365" s="95">
        <v>34.24</v>
      </c>
    </row>
    <row r="366" spans="1:14" ht="22.5" customHeight="1">
      <c r="A366" s="108"/>
      <c r="B366" s="93" t="s">
        <v>261</v>
      </c>
      <c r="C366" s="91">
        <v>4.4530899999999998E-3</v>
      </c>
      <c r="D366" s="90">
        <v>946904</v>
      </c>
      <c r="E366" s="97">
        <v>4217</v>
      </c>
      <c r="F366" s="90">
        <v>944796</v>
      </c>
      <c r="G366" s="96">
        <v>27202685</v>
      </c>
      <c r="H366" s="95">
        <v>28.73</v>
      </c>
      <c r="I366" s="91">
        <v>2.2598000000000002E-3</v>
      </c>
      <c r="J366" s="90">
        <v>971941</v>
      </c>
      <c r="K366" s="97">
        <v>2196</v>
      </c>
      <c r="L366" s="90">
        <v>970843</v>
      </c>
      <c r="M366" s="96">
        <v>32376656</v>
      </c>
      <c r="N366" s="95">
        <v>33.31</v>
      </c>
    </row>
    <row r="367" spans="1:14" ht="22.5" customHeight="1">
      <c r="A367" s="108"/>
      <c r="B367" s="93" t="s">
        <v>260</v>
      </c>
      <c r="C367" s="91">
        <v>4.8062900000000004E-3</v>
      </c>
      <c r="D367" s="90">
        <v>942687</v>
      </c>
      <c r="E367" s="97">
        <v>4531</v>
      </c>
      <c r="F367" s="90">
        <v>940422</v>
      </c>
      <c r="G367" s="96">
        <v>26257889</v>
      </c>
      <c r="H367" s="95">
        <v>27.85</v>
      </c>
      <c r="I367" s="91">
        <v>2.4432899999999999E-3</v>
      </c>
      <c r="J367" s="90">
        <v>969745</v>
      </c>
      <c r="K367" s="97">
        <v>2369</v>
      </c>
      <c r="L367" s="90">
        <v>968561</v>
      </c>
      <c r="M367" s="96">
        <v>31405813</v>
      </c>
      <c r="N367" s="95">
        <v>32.39</v>
      </c>
    </row>
    <row r="368" spans="1:14" ht="22.5" customHeight="1">
      <c r="A368" s="108"/>
      <c r="B368" s="93" t="s">
        <v>259</v>
      </c>
      <c r="C368" s="91">
        <v>5.2128900000000004E-3</v>
      </c>
      <c r="D368" s="90">
        <v>938156</v>
      </c>
      <c r="E368" s="97">
        <v>4891</v>
      </c>
      <c r="F368" s="90">
        <v>935711</v>
      </c>
      <c r="G368" s="96">
        <v>25317467</v>
      </c>
      <c r="H368" s="95">
        <v>26.99</v>
      </c>
      <c r="I368" s="91">
        <v>2.63817E-3</v>
      </c>
      <c r="J368" s="90">
        <v>967376</v>
      </c>
      <c r="K368" s="97">
        <v>2552</v>
      </c>
      <c r="L368" s="90">
        <v>966100</v>
      </c>
      <c r="M368" s="96">
        <v>30437252</v>
      </c>
      <c r="N368" s="95">
        <v>31.46</v>
      </c>
    </row>
    <row r="369" spans="1:14" ht="22.5" customHeight="1">
      <c r="A369" s="108"/>
      <c r="B369" s="93" t="s">
        <v>258</v>
      </c>
      <c r="C369" s="91">
        <v>5.67755E-3</v>
      </c>
      <c r="D369" s="90">
        <v>933265</v>
      </c>
      <c r="E369" s="97">
        <v>5299</v>
      </c>
      <c r="F369" s="90">
        <v>930616</v>
      </c>
      <c r="G369" s="96">
        <v>24381756</v>
      </c>
      <c r="H369" s="95">
        <v>26.13</v>
      </c>
      <c r="I369" s="91">
        <v>2.84666E-3</v>
      </c>
      <c r="J369" s="90">
        <v>964824</v>
      </c>
      <c r="K369" s="97">
        <v>2747</v>
      </c>
      <c r="L369" s="90">
        <v>963451</v>
      </c>
      <c r="M369" s="96">
        <v>29471152</v>
      </c>
      <c r="N369" s="95">
        <v>30.55</v>
      </c>
    </row>
    <row r="370" spans="1:14" ht="22.5" customHeight="1">
      <c r="A370" s="108"/>
      <c r="B370" s="93" t="s">
        <v>257</v>
      </c>
      <c r="C370" s="91">
        <v>6.1923100000000003E-3</v>
      </c>
      <c r="D370" s="90">
        <v>927966</v>
      </c>
      <c r="E370" s="97">
        <v>5746</v>
      </c>
      <c r="F370" s="90">
        <v>925093</v>
      </c>
      <c r="G370" s="96">
        <v>23451140</v>
      </c>
      <c r="H370" s="95">
        <v>25.27</v>
      </c>
      <c r="I370" s="91">
        <v>3.06333E-3</v>
      </c>
      <c r="J370" s="90">
        <v>962077</v>
      </c>
      <c r="K370" s="97">
        <v>2947</v>
      </c>
      <c r="L370" s="90">
        <v>960604</v>
      </c>
      <c r="M370" s="96">
        <v>28507701</v>
      </c>
      <c r="N370" s="95">
        <v>29.63</v>
      </c>
    </row>
    <row r="371" spans="1:14" ht="22.5" customHeight="1">
      <c r="A371" s="108"/>
      <c r="B371" s="93" t="s">
        <v>256</v>
      </c>
      <c r="C371" s="91">
        <v>6.7505899999999999E-3</v>
      </c>
      <c r="D371" s="90">
        <v>922220</v>
      </c>
      <c r="E371" s="97">
        <v>6226</v>
      </c>
      <c r="F371" s="90">
        <v>919107</v>
      </c>
      <c r="G371" s="96">
        <v>22526047</v>
      </c>
      <c r="H371" s="95">
        <v>24.43</v>
      </c>
      <c r="I371" s="91">
        <v>3.2876200000000002E-3</v>
      </c>
      <c r="J371" s="90">
        <v>959130</v>
      </c>
      <c r="K371" s="97">
        <v>3153</v>
      </c>
      <c r="L371" s="90">
        <v>957554</v>
      </c>
      <c r="M371" s="96">
        <v>27547097</v>
      </c>
      <c r="N371" s="95">
        <v>28.72</v>
      </c>
    </row>
    <row r="372" spans="1:14" ht="22.5" customHeight="1">
      <c r="A372" s="108"/>
      <c r="B372" s="93" t="s">
        <v>255</v>
      </c>
      <c r="C372" s="91">
        <v>7.3471500000000002E-3</v>
      </c>
      <c r="D372" s="90">
        <v>915994</v>
      </c>
      <c r="E372" s="97">
        <v>6730</v>
      </c>
      <c r="F372" s="90">
        <v>912629</v>
      </c>
      <c r="G372" s="96">
        <v>21606940</v>
      </c>
      <c r="H372" s="95">
        <v>23.59</v>
      </c>
      <c r="I372" s="91">
        <v>3.5238499999999998E-3</v>
      </c>
      <c r="J372" s="90">
        <v>955977</v>
      </c>
      <c r="K372" s="97">
        <v>3369</v>
      </c>
      <c r="L372" s="90">
        <v>954293</v>
      </c>
      <c r="M372" s="96">
        <v>26589543</v>
      </c>
      <c r="N372" s="95">
        <v>27.81</v>
      </c>
    </row>
    <row r="373" spans="1:14" ht="22.5" customHeight="1">
      <c r="A373" s="108"/>
      <c r="B373" s="93" t="s">
        <v>254</v>
      </c>
      <c r="C373" s="91">
        <v>7.9881299999999995E-3</v>
      </c>
      <c r="D373" s="90">
        <v>909264</v>
      </c>
      <c r="E373" s="97">
        <v>7263</v>
      </c>
      <c r="F373" s="90">
        <v>905633</v>
      </c>
      <c r="G373" s="96">
        <v>20694311</v>
      </c>
      <c r="H373" s="95">
        <v>22.76</v>
      </c>
      <c r="I373" s="91">
        <v>3.7797199999999999E-3</v>
      </c>
      <c r="J373" s="90">
        <v>952608</v>
      </c>
      <c r="K373" s="97">
        <v>3601</v>
      </c>
      <c r="L373" s="90">
        <v>950808</v>
      </c>
      <c r="M373" s="96">
        <v>25635250</v>
      </c>
      <c r="N373" s="95">
        <v>26.91</v>
      </c>
    </row>
    <row r="374" spans="1:14" ht="22.5" customHeight="1">
      <c r="A374" s="108"/>
      <c r="B374" s="93" t="s">
        <v>253</v>
      </c>
      <c r="C374" s="91">
        <v>8.6836399999999994E-3</v>
      </c>
      <c r="D374" s="90">
        <v>902001</v>
      </c>
      <c r="E374" s="97">
        <v>7833</v>
      </c>
      <c r="F374" s="90">
        <v>898085</v>
      </c>
      <c r="G374" s="96">
        <v>19788678</v>
      </c>
      <c r="H374" s="95">
        <v>21.94</v>
      </c>
      <c r="I374" s="91">
        <v>4.06529E-3</v>
      </c>
      <c r="J374" s="90">
        <v>949007</v>
      </c>
      <c r="K374" s="97">
        <v>3858</v>
      </c>
      <c r="L374" s="90">
        <v>947078</v>
      </c>
      <c r="M374" s="96">
        <v>24684442</v>
      </c>
      <c r="N374" s="95">
        <v>26.01</v>
      </c>
    </row>
    <row r="375" spans="1:14" ht="22.5" customHeight="1">
      <c r="A375" s="108"/>
      <c r="B375" s="93" t="s">
        <v>252</v>
      </c>
      <c r="C375" s="91">
        <v>9.4118199999999996E-3</v>
      </c>
      <c r="D375" s="90">
        <v>894168</v>
      </c>
      <c r="E375" s="97">
        <v>8416</v>
      </c>
      <c r="F375" s="90">
        <v>889960</v>
      </c>
      <c r="G375" s="96">
        <v>18890593</v>
      </c>
      <c r="H375" s="95">
        <v>21.13</v>
      </c>
      <c r="I375" s="91">
        <v>4.3744200000000004E-3</v>
      </c>
      <c r="J375" s="90">
        <v>945149</v>
      </c>
      <c r="K375" s="97">
        <v>4134</v>
      </c>
      <c r="L375" s="90">
        <v>943082</v>
      </c>
      <c r="M375" s="96">
        <v>23737364</v>
      </c>
      <c r="N375" s="95">
        <v>25.11</v>
      </c>
    </row>
    <row r="376" spans="1:14" ht="22.5" customHeight="1">
      <c r="A376" s="108"/>
      <c r="B376" s="93" t="s">
        <v>251</v>
      </c>
      <c r="C376" s="91">
        <v>1.017536E-2</v>
      </c>
      <c r="D376" s="90">
        <v>885752</v>
      </c>
      <c r="E376" s="97">
        <v>9013</v>
      </c>
      <c r="F376" s="90">
        <v>881246</v>
      </c>
      <c r="G376" s="96">
        <v>18000633</v>
      </c>
      <c r="H376" s="95">
        <v>20.32</v>
      </c>
      <c r="I376" s="91">
        <v>4.7119800000000002E-3</v>
      </c>
      <c r="J376" s="90">
        <v>941015</v>
      </c>
      <c r="K376" s="97">
        <v>4434</v>
      </c>
      <c r="L376" s="90">
        <v>938798</v>
      </c>
      <c r="M376" s="96">
        <v>22794282</v>
      </c>
      <c r="N376" s="95">
        <v>24.22</v>
      </c>
    </row>
    <row r="377" spans="1:14" ht="22.5" customHeight="1">
      <c r="A377" s="108"/>
      <c r="B377" s="93" t="s">
        <v>250</v>
      </c>
      <c r="C377" s="91">
        <v>1.10014E-2</v>
      </c>
      <c r="D377" s="90">
        <v>876739</v>
      </c>
      <c r="E377" s="97">
        <v>9645</v>
      </c>
      <c r="F377" s="90">
        <v>871917</v>
      </c>
      <c r="G377" s="96">
        <v>17119387</v>
      </c>
      <c r="H377" s="95">
        <v>19.53</v>
      </c>
      <c r="I377" s="91">
        <v>5.09392E-3</v>
      </c>
      <c r="J377" s="90">
        <v>936581</v>
      </c>
      <c r="K377" s="97">
        <v>4771</v>
      </c>
      <c r="L377" s="90">
        <v>934196</v>
      </c>
      <c r="M377" s="96">
        <v>21855484</v>
      </c>
      <c r="N377" s="95">
        <v>23.34</v>
      </c>
    </row>
    <row r="378" spans="1:14" ht="22.5" customHeight="1">
      <c r="A378" s="108"/>
      <c r="B378" s="93" t="s">
        <v>249</v>
      </c>
      <c r="C378" s="91">
        <v>1.192709E-2</v>
      </c>
      <c r="D378" s="90">
        <v>867094</v>
      </c>
      <c r="E378" s="92">
        <v>10342</v>
      </c>
      <c r="F378" s="90">
        <v>861923</v>
      </c>
      <c r="G378" s="96">
        <v>16247470</v>
      </c>
      <c r="H378" s="95">
        <v>18.739999999999998</v>
      </c>
      <c r="I378" s="91">
        <v>5.5425099999999996E-3</v>
      </c>
      <c r="J378" s="90">
        <v>931810</v>
      </c>
      <c r="K378" s="97">
        <v>5165</v>
      </c>
      <c r="L378" s="90">
        <v>929228</v>
      </c>
      <c r="M378" s="96">
        <v>20921288</v>
      </c>
      <c r="N378" s="95">
        <v>22.45</v>
      </c>
    </row>
    <row r="379" spans="1:14" ht="22.5" customHeight="1">
      <c r="A379" s="108"/>
      <c r="B379" s="93" t="s">
        <v>248</v>
      </c>
      <c r="C379" s="91">
        <v>1.299902E-2</v>
      </c>
      <c r="D379" s="90">
        <v>856752</v>
      </c>
      <c r="E379" s="92">
        <v>11137</v>
      </c>
      <c r="F379" s="90">
        <v>851184</v>
      </c>
      <c r="G379" s="96">
        <v>15385547</v>
      </c>
      <c r="H379" s="95">
        <v>17.96</v>
      </c>
      <c r="I379" s="91">
        <v>6.08371E-3</v>
      </c>
      <c r="J379" s="90">
        <v>926645</v>
      </c>
      <c r="K379" s="97">
        <v>5637</v>
      </c>
      <c r="L379" s="90">
        <v>923827</v>
      </c>
      <c r="M379" s="96">
        <v>19992060</v>
      </c>
      <c r="N379" s="95">
        <v>21.57</v>
      </c>
    </row>
    <row r="380" spans="1:14" ht="22.5" customHeight="1">
      <c r="A380" s="108"/>
      <c r="B380" s="93" t="s">
        <v>247</v>
      </c>
      <c r="C380" s="91">
        <v>1.426932E-2</v>
      </c>
      <c r="D380" s="90">
        <v>845615</v>
      </c>
      <c r="E380" s="92">
        <v>12066</v>
      </c>
      <c r="F380" s="90">
        <v>839582</v>
      </c>
      <c r="G380" s="96">
        <v>14534363</v>
      </c>
      <c r="H380" s="95">
        <v>17.190000000000001</v>
      </c>
      <c r="I380" s="91">
        <v>6.7203999999999996E-3</v>
      </c>
      <c r="J380" s="90">
        <v>921008</v>
      </c>
      <c r="K380" s="97">
        <v>6190</v>
      </c>
      <c r="L380" s="90">
        <v>917913</v>
      </c>
      <c r="M380" s="96">
        <v>19068233</v>
      </c>
      <c r="N380" s="95">
        <v>20.7</v>
      </c>
    </row>
    <row r="381" spans="1:14" ht="22.5" customHeight="1">
      <c r="A381" s="108"/>
      <c r="B381" s="93" t="s">
        <v>246</v>
      </c>
      <c r="C381" s="91">
        <v>1.5782210000000001E-2</v>
      </c>
      <c r="D381" s="90">
        <v>833549</v>
      </c>
      <c r="E381" s="92">
        <v>13155</v>
      </c>
      <c r="F381" s="90">
        <v>826972</v>
      </c>
      <c r="G381" s="96">
        <v>13694781</v>
      </c>
      <c r="H381" s="95">
        <v>16.43</v>
      </c>
      <c r="I381" s="91">
        <v>7.4666999999999997E-3</v>
      </c>
      <c r="J381" s="90">
        <v>914818</v>
      </c>
      <c r="K381" s="97">
        <v>6831</v>
      </c>
      <c r="L381" s="90">
        <v>911403</v>
      </c>
      <c r="M381" s="96">
        <v>18150320</v>
      </c>
      <c r="N381" s="95">
        <v>19.84</v>
      </c>
    </row>
    <row r="382" spans="1:14" ht="22.5" customHeight="1">
      <c r="A382" s="108"/>
      <c r="B382" s="93" t="s">
        <v>245</v>
      </c>
      <c r="C382" s="91">
        <v>1.7573970000000001E-2</v>
      </c>
      <c r="D382" s="90">
        <v>820394</v>
      </c>
      <c r="E382" s="92">
        <v>14418</v>
      </c>
      <c r="F382" s="90">
        <v>813185</v>
      </c>
      <c r="G382" s="96">
        <v>12867809</v>
      </c>
      <c r="H382" s="95">
        <v>15.68</v>
      </c>
      <c r="I382" s="91">
        <v>8.34792E-3</v>
      </c>
      <c r="J382" s="90">
        <v>907987</v>
      </c>
      <c r="K382" s="97">
        <v>7580</v>
      </c>
      <c r="L382" s="90">
        <v>904197</v>
      </c>
      <c r="M382" s="96">
        <v>17238917</v>
      </c>
      <c r="N382" s="95">
        <v>18.989999999999998</v>
      </c>
    </row>
    <row r="383" spans="1:14" ht="22.5" customHeight="1">
      <c r="A383" s="108"/>
      <c r="B383" s="93" t="s">
        <v>244</v>
      </c>
      <c r="C383" s="91">
        <v>1.968131E-2</v>
      </c>
      <c r="D383" s="90">
        <v>805976</v>
      </c>
      <c r="E383" s="92">
        <v>15863</v>
      </c>
      <c r="F383" s="90">
        <v>798045</v>
      </c>
      <c r="G383" s="96">
        <v>12054624</v>
      </c>
      <c r="H383" s="95">
        <v>14.96</v>
      </c>
      <c r="I383" s="91">
        <v>9.4021599999999997E-3</v>
      </c>
      <c r="J383" s="90">
        <v>900407</v>
      </c>
      <c r="K383" s="97">
        <v>8466</v>
      </c>
      <c r="L383" s="90">
        <v>896174</v>
      </c>
      <c r="M383" s="96">
        <v>16334720</v>
      </c>
      <c r="N383" s="95">
        <v>18.14</v>
      </c>
    </row>
    <row r="384" spans="1:14" ht="22.5" customHeight="1">
      <c r="A384" s="108"/>
      <c r="B384" s="93" t="s">
        <v>243</v>
      </c>
      <c r="C384" s="91">
        <v>2.2126699999999999E-2</v>
      </c>
      <c r="D384" s="90">
        <v>790113</v>
      </c>
      <c r="E384" s="92">
        <v>17483</v>
      </c>
      <c r="F384" s="90">
        <v>781372</v>
      </c>
      <c r="G384" s="96">
        <v>11256579</v>
      </c>
      <c r="H384" s="95">
        <v>14.25</v>
      </c>
      <c r="I384" s="91">
        <v>1.066982E-2</v>
      </c>
      <c r="J384" s="90">
        <v>891941</v>
      </c>
      <c r="K384" s="97">
        <v>9517</v>
      </c>
      <c r="L384" s="90">
        <v>887183</v>
      </c>
      <c r="M384" s="96">
        <v>15438546</v>
      </c>
      <c r="N384" s="95">
        <v>17.309999999999999</v>
      </c>
    </row>
    <row r="385" spans="1:14" ht="22.5" customHeight="1">
      <c r="A385" s="108"/>
      <c r="B385" s="93" t="s">
        <v>242</v>
      </c>
      <c r="C385" s="91">
        <v>2.4910689999999999E-2</v>
      </c>
      <c r="D385" s="90">
        <v>772630</v>
      </c>
      <c r="E385" s="92">
        <v>19247</v>
      </c>
      <c r="F385" s="90">
        <v>763007</v>
      </c>
      <c r="G385" s="96">
        <v>10475207</v>
      </c>
      <c r="H385" s="95">
        <v>13.56</v>
      </c>
      <c r="I385" s="91">
        <v>1.2187669999999999E-2</v>
      </c>
      <c r="J385" s="90">
        <v>882424</v>
      </c>
      <c r="K385" s="92">
        <v>10755</v>
      </c>
      <c r="L385" s="90">
        <v>877047</v>
      </c>
      <c r="M385" s="96">
        <v>14551363</v>
      </c>
      <c r="N385" s="95">
        <v>16.489999999999998</v>
      </c>
    </row>
    <row r="386" spans="1:14" ht="22.5" customHeight="1">
      <c r="A386" s="108"/>
      <c r="B386" s="93" t="s">
        <v>241</v>
      </c>
      <c r="C386" s="91">
        <v>2.802317E-2</v>
      </c>
      <c r="D386" s="90">
        <v>753383</v>
      </c>
      <c r="E386" s="92">
        <v>21112</v>
      </c>
      <c r="F386" s="90">
        <v>742827</v>
      </c>
      <c r="G386" s="94">
        <v>9712200</v>
      </c>
      <c r="H386" s="95">
        <v>12.89</v>
      </c>
      <c r="I386" s="91">
        <v>1.3984959999999999E-2</v>
      </c>
      <c r="J386" s="90">
        <v>871669</v>
      </c>
      <c r="K386" s="92">
        <v>12190</v>
      </c>
      <c r="L386" s="90">
        <v>865574</v>
      </c>
      <c r="M386" s="96">
        <v>13674316</v>
      </c>
      <c r="N386" s="95">
        <v>15.69</v>
      </c>
    </row>
    <row r="387" spans="1:14" ht="22.5" customHeight="1">
      <c r="A387" s="108"/>
      <c r="B387" s="93" t="s">
        <v>240</v>
      </c>
      <c r="C387" s="91">
        <v>3.1448959999999998E-2</v>
      </c>
      <c r="D387" s="90">
        <v>732271</v>
      </c>
      <c r="E387" s="92">
        <v>23029</v>
      </c>
      <c r="F387" s="90">
        <v>720757</v>
      </c>
      <c r="G387" s="94">
        <v>8969373</v>
      </c>
      <c r="H387" s="95">
        <v>12.25</v>
      </c>
      <c r="I387" s="91">
        <v>1.6082320000000001E-2</v>
      </c>
      <c r="J387" s="90">
        <v>859479</v>
      </c>
      <c r="K387" s="92">
        <v>13822</v>
      </c>
      <c r="L387" s="90">
        <v>852568</v>
      </c>
      <c r="M387" s="96">
        <v>12808742</v>
      </c>
      <c r="N387" s="95">
        <v>14.9</v>
      </c>
    </row>
    <row r="388" spans="1:14" ht="22.5" customHeight="1">
      <c r="A388" s="108"/>
      <c r="B388" s="93" t="s">
        <v>239</v>
      </c>
      <c r="C388" s="91">
        <v>3.5170260000000002E-2</v>
      </c>
      <c r="D388" s="90">
        <v>709242</v>
      </c>
      <c r="E388" s="92">
        <v>24944</v>
      </c>
      <c r="F388" s="90">
        <v>696770</v>
      </c>
      <c r="G388" s="94">
        <v>8248616</v>
      </c>
      <c r="H388" s="95">
        <v>11.63</v>
      </c>
      <c r="I388" s="91">
        <v>1.8496809999999999E-2</v>
      </c>
      <c r="J388" s="90">
        <v>845657</v>
      </c>
      <c r="K388" s="92">
        <v>15642</v>
      </c>
      <c r="L388" s="90">
        <v>837836</v>
      </c>
      <c r="M388" s="96">
        <v>11956174</v>
      </c>
      <c r="N388" s="95">
        <v>14.14</v>
      </c>
    </row>
    <row r="389" spans="1:14" ht="22.5" customHeight="1">
      <c r="A389" s="108"/>
      <c r="B389" s="93" t="s">
        <v>238</v>
      </c>
      <c r="C389" s="91">
        <v>3.9169790000000003E-2</v>
      </c>
      <c r="D389" s="90">
        <v>684298</v>
      </c>
      <c r="E389" s="92">
        <v>26804</v>
      </c>
      <c r="F389" s="90">
        <v>670896</v>
      </c>
      <c r="G389" s="94">
        <v>7551846</v>
      </c>
      <c r="H389" s="95">
        <v>11.04</v>
      </c>
      <c r="I389" s="91">
        <v>2.1235899999999999E-2</v>
      </c>
      <c r="J389" s="90">
        <v>830015</v>
      </c>
      <c r="K389" s="92">
        <v>17626</v>
      </c>
      <c r="L389" s="90">
        <v>821202</v>
      </c>
      <c r="M389" s="96">
        <v>11118338</v>
      </c>
      <c r="N389" s="95">
        <v>13.4</v>
      </c>
    </row>
    <row r="390" spans="1:14" ht="22.5" customHeight="1">
      <c r="A390" s="108"/>
      <c r="B390" s="93" t="s">
        <v>237</v>
      </c>
      <c r="C390" s="91">
        <v>4.3443530000000001E-2</v>
      </c>
      <c r="D390" s="90">
        <v>657494</v>
      </c>
      <c r="E390" s="92">
        <v>28564</v>
      </c>
      <c r="F390" s="90">
        <v>643212</v>
      </c>
      <c r="G390" s="94">
        <v>6880950</v>
      </c>
      <c r="H390" s="95">
        <v>10.47</v>
      </c>
      <c r="I390" s="91">
        <v>2.4305960000000001E-2</v>
      </c>
      <c r="J390" s="90">
        <v>812389</v>
      </c>
      <c r="K390" s="92">
        <v>19746</v>
      </c>
      <c r="L390" s="90">
        <v>802516</v>
      </c>
      <c r="M390" s="96">
        <v>10297136</v>
      </c>
      <c r="N390" s="95">
        <v>12.68</v>
      </c>
    </row>
    <row r="391" spans="1:14" ht="22.5" customHeight="1">
      <c r="A391" s="108"/>
      <c r="B391" s="93" t="s">
        <v>236</v>
      </c>
      <c r="C391" s="91">
        <v>4.7982339999999998E-2</v>
      </c>
      <c r="D391" s="90">
        <v>628930</v>
      </c>
      <c r="E391" s="92">
        <v>30178</v>
      </c>
      <c r="F391" s="90">
        <v>613841</v>
      </c>
      <c r="G391" s="94">
        <v>6237738</v>
      </c>
      <c r="H391" s="89">
        <v>9.92</v>
      </c>
      <c r="I391" s="91">
        <v>2.7706680000000001E-2</v>
      </c>
      <c r="J391" s="90">
        <v>792643</v>
      </c>
      <c r="K391" s="92">
        <v>21962</v>
      </c>
      <c r="L391" s="90">
        <v>781662</v>
      </c>
      <c r="M391" s="94">
        <v>9494620</v>
      </c>
      <c r="N391" s="95">
        <v>11.98</v>
      </c>
    </row>
    <row r="392" spans="1:14" ht="22.5" customHeight="1">
      <c r="A392" s="108"/>
      <c r="B392" s="93" t="s">
        <v>235</v>
      </c>
      <c r="C392" s="91">
        <v>5.2779779999999998E-2</v>
      </c>
      <c r="D392" s="90">
        <v>598752</v>
      </c>
      <c r="E392" s="92">
        <v>31602</v>
      </c>
      <c r="F392" s="90">
        <v>582951</v>
      </c>
      <c r="G392" s="94">
        <v>5623897</v>
      </c>
      <c r="H392" s="89">
        <v>9.39</v>
      </c>
      <c r="I392" s="91">
        <v>3.1435110000000002E-2</v>
      </c>
      <c r="J392" s="90">
        <v>770681</v>
      </c>
      <c r="K392" s="92">
        <v>24226</v>
      </c>
      <c r="L392" s="90">
        <v>758568</v>
      </c>
      <c r="M392" s="94">
        <v>8712958</v>
      </c>
      <c r="N392" s="95">
        <v>11.31</v>
      </c>
    </row>
    <row r="393" spans="1:14" ht="22.5" customHeight="1">
      <c r="A393" s="108"/>
      <c r="B393" s="93" t="s">
        <v>234</v>
      </c>
      <c r="C393" s="91">
        <v>5.7831880000000002E-2</v>
      </c>
      <c r="D393" s="90">
        <v>567150</v>
      </c>
      <c r="E393" s="92">
        <v>32799</v>
      </c>
      <c r="F393" s="90">
        <v>550751</v>
      </c>
      <c r="G393" s="94">
        <v>5040946</v>
      </c>
      <c r="H393" s="89">
        <v>8.89</v>
      </c>
      <c r="I393" s="91">
        <v>3.5487459999999998E-2</v>
      </c>
      <c r="J393" s="90">
        <v>746455</v>
      </c>
      <c r="K393" s="92">
        <v>26490</v>
      </c>
      <c r="L393" s="90">
        <v>733210</v>
      </c>
      <c r="M393" s="94">
        <v>7954390</v>
      </c>
      <c r="N393" s="95">
        <v>10.66</v>
      </c>
    </row>
    <row r="394" spans="1:14" ht="22.5" customHeight="1">
      <c r="A394" s="108"/>
      <c r="B394" s="93" t="s">
        <v>233</v>
      </c>
      <c r="C394" s="91">
        <v>6.3134499999999996E-2</v>
      </c>
      <c r="D394" s="90">
        <v>534351</v>
      </c>
      <c r="E394" s="92">
        <v>33736</v>
      </c>
      <c r="F394" s="90">
        <v>517483</v>
      </c>
      <c r="G394" s="94">
        <v>4490195</v>
      </c>
      <c r="H394" s="89">
        <v>8.4</v>
      </c>
      <c r="I394" s="91">
        <v>3.9859650000000003E-2</v>
      </c>
      <c r="J394" s="90">
        <v>719965</v>
      </c>
      <c r="K394" s="92">
        <v>28698</v>
      </c>
      <c r="L394" s="90">
        <v>705616</v>
      </c>
      <c r="M394" s="94">
        <v>7221180</v>
      </c>
      <c r="N394" s="95">
        <v>10.029999999999999</v>
      </c>
    </row>
    <row r="395" spans="1:14" ht="22.5" customHeight="1">
      <c r="A395" s="108"/>
      <c r="B395" s="93" t="s">
        <v>232</v>
      </c>
      <c r="C395" s="91">
        <v>6.890607E-2</v>
      </c>
      <c r="D395" s="90">
        <v>500615</v>
      </c>
      <c r="E395" s="92">
        <v>34495</v>
      </c>
      <c r="F395" s="90">
        <v>483368</v>
      </c>
      <c r="G395" s="94">
        <v>3972712</v>
      </c>
      <c r="H395" s="89">
        <v>7.94</v>
      </c>
      <c r="I395" s="91">
        <v>4.4736579999999998E-2</v>
      </c>
      <c r="J395" s="90">
        <v>691267</v>
      </c>
      <c r="K395" s="92">
        <v>30925</v>
      </c>
      <c r="L395" s="90">
        <v>675805</v>
      </c>
      <c r="M395" s="94">
        <v>6515564</v>
      </c>
      <c r="N395" s="89">
        <v>9.43</v>
      </c>
    </row>
    <row r="396" spans="1:14" ht="22.5" customHeight="1">
      <c r="A396" s="108"/>
      <c r="B396" s="93" t="s">
        <v>231</v>
      </c>
      <c r="C396" s="91">
        <v>7.5184769999999998E-2</v>
      </c>
      <c r="D396" s="90">
        <v>466120</v>
      </c>
      <c r="E396" s="92">
        <v>35045</v>
      </c>
      <c r="F396" s="90">
        <v>448598</v>
      </c>
      <c r="G396" s="94">
        <v>3489344</v>
      </c>
      <c r="H396" s="89">
        <v>7.49</v>
      </c>
      <c r="I396" s="91">
        <v>5.0170689999999997E-2</v>
      </c>
      <c r="J396" s="90">
        <v>660342</v>
      </c>
      <c r="K396" s="92">
        <v>33130</v>
      </c>
      <c r="L396" s="90">
        <v>643777</v>
      </c>
      <c r="M396" s="94">
        <v>5839759</v>
      </c>
      <c r="N396" s="89">
        <v>8.84</v>
      </c>
    </row>
    <row r="397" spans="1:14" ht="22.5" customHeight="1">
      <c r="A397" s="108"/>
      <c r="B397" s="93" t="s">
        <v>230</v>
      </c>
      <c r="C397" s="91">
        <v>8.2011290000000001E-2</v>
      </c>
      <c r="D397" s="90">
        <v>431075</v>
      </c>
      <c r="E397" s="92">
        <v>35353</v>
      </c>
      <c r="F397" s="90">
        <v>413399</v>
      </c>
      <c r="G397" s="94">
        <v>3040746</v>
      </c>
      <c r="H397" s="89">
        <v>7.05</v>
      </c>
      <c r="I397" s="91">
        <v>5.6218829999999997E-2</v>
      </c>
      <c r="J397" s="90">
        <v>627212</v>
      </c>
      <c r="K397" s="92">
        <v>35261</v>
      </c>
      <c r="L397" s="90">
        <v>609582</v>
      </c>
      <c r="M397" s="94">
        <v>5195982</v>
      </c>
      <c r="N397" s="89">
        <v>8.2799999999999994</v>
      </c>
    </row>
    <row r="398" spans="1:14" ht="22.5" customHeight="1">
      <c r="A398" s="108"/>
      <c r="B398" s="93" t="s">
        <v>229</v>
      </c>
      <c r="C398" s="91">
        <v>8.9428839999999996E-2</v>
      </c>
      <c r="D398" s="90">
        <v>395722</v>
      </c>
      <c r="E398" s="92">
        <v>35389</v>
      </c>
      <c r="F398" s="90">
        <v>378028</v>
      </c>
      <c r="G398" s="94">
        <v>2627347</v>
      </c>
      <c r="H398" s="89">
        <v>6.64</v>
      </c>
      <c r="I398" s="91">
        <v>6.2942330000000005E-2</v>
      </c>
      <c r="J398" s="90">
        <v>591951</v>
      </c>
      <c r="K398" s="92">
        <v>37259</v>
      </c>
      <c r="L398" s="90">
        <v>573322</v>
      </c>
      <c r="M398" s="94">
        <v>4586400</v>
      </c>
      <c r="N398" s="89">
        <v>7.75</v>
      </c>
    </row>
    <row r="399" spans="1:14" ht="22.5" customHeight="1">
      <c r="A399" s="108"/>
      <c r="B399" s="93" t="s">
        <v>228</v>
      </c>
      <c r="C399" s="91">
        <v>9.7483180000000003E-2</v>
      </c>
      <c r="D399" s="90">
        <v>360333</v>
      </c>
      <c r="E399" s="92">
        <v>35126</v>
      </c>
      <c r="F399" s="90">
        <v>342770</v>
      </c>
      <c r="G399" s="94">
        <v>2249319</v>
      </c>
      <c r="H399" s="89">
        <v>6.24</v>
      </c>
      <c r="I399" s="91">
        <v>7.0407129999999998E-2</v>
      </c>
      <c r="J399" s="90">
        <v>554692</v>
      </c>
      <c r="K399" s="92">
        <v>39054</v>
      </c>
      <c r="L399" s="90">
        <v>535165</v>
      </c>
      <c r="M399" s="94">
        <v>4013078</v>
      </c>
      <c r="N399" s="89">
        <v>7.23</v>
      </c>
    </row>
    <row r="400" spans="1:14" ht="22.5" customHeight="1">
      <c r="A400" s="108"/>
      <c r="B400" s="93" t="s">
        <v>227</v>
      </c>
      <c r="C400" s="91">
        <v>0.10622259000000001</v>
      </c>
      <c r="D400" s="90">
        <v>325207</v>
      </c>
      <c r="E400" s="92">
        <v>34544</v>
      </c>
      <c r="F400" s="90">
        <v>307935</v>
      </c>
      <c r="G400" s="94">
        <v>1906549</v>
      </c>
      <c r="H400" s="89">
        <v>5.86</v>
      </c>
      <c r="I400" s="91">
        <v>7.8683820000000002E-2</v>
      </c>
      <c r="J400" s="90">
        <v>515638</v>
      </c>
      <c r="K400" s="92">
        <v>40572</v>
      </c>
      <c r="L400" s="90">
        <v>495352</v>
      </c>
      <c r="M400" s="94">
        <v>3477913</v>
      </c>
      <c r="N400" s="89">
        <v>6.74</v>
      </c>
    </row>
    <row r="401" spans="1:14" ht="22.5" customHeight="1">
      <c r="A401" s="108"/>
      <c r="B401" s="93" t="s">
        <v>226</v>
      </c>
      <c r="C401" s="91">
        <v>0.11569784</v>
      </c>
      <c r="D401" s="90">
        <v>290663</v>
      </c>
      <c r="E401" s="92">
        <v>33629</v>
      </c>
      <c r="F401" s="90">
        <v>273849</v>
      </c>
      <c r="G401" s="94">
        <v>1598614</v>
      </c>
      <c r="H401" s="89">
        <v>5.5</v>
      </c>
      <c r="I401" s="91">
        <v>8.7847549999999996E-2</v>
      </c>
      <c r="J401" s="90">
        <v>475066</v>
      </c>
      <c r="K401" s="92">
        <v>41733</v>
      </c>
      <c r="L401" s="90">
        <v>454200</v>
      </c>
      <c r="M401" s="94">
        <v>2982561</v>
      </c>
      <c r="N401" s="89">
        <v>6.28</v>
      </c>
    </row>
    <row r="402" spans="1:14" ht="22.5" customHeight="1">
      <c r="A402" s="108"/>
      <c r="B402" s="93" t="s">
        <v>225</v>
      </c>
      <c r="C402" s="91">
        <v>0.12596209</v>
      </c>
      <c r="D402" s="90">
        <v>257034</v>
      </c>
      <c r="E402" s="92">
        <v>32377</v>
      </c>
      <c r="F402" s="90">
        <v>240846</v>
      </c>
      <c r="G402" s="94">
        <v>1324765</v>
      </c>
      <c r="H402" s="89">
        <v>5.15</v>
      </c>
      <c r="I402" s="91">
        <v>9.7977889999999998E-2</v>
      </c>
      <c r="J402" s="90">
        <v>433333</v>
      </c>
      <c r="K402" s="92">
        <v>42457</v>
      </c>
      <c r="L402" s="90">
        <v>412105</v>
      </c>
      <c r="M402" s="94">
        <v>2528361</v>
      </c>
      <c r="N402" s="89">
        <v>5.83</v>
      </c>
    </row>
    <row r="403" spans="1:14" ht="22.5" customHeight="1">
      <c r="A403" s="108"/>
      <c r="B403" s="93" t="s">
        <v>224</v>
      </c>
      <c r="C403" s="91">
        <v>0.13707069999999999</v>
      </c>
      <c r="D403" s="90">
        <v>224657</v>
      </c>
      <c r="E403" s="92">
        <v>30794</v>
      </c>
      <c r="F403" s="90">
        <v>209260</v>
      </c>
      <c r="G403" s="94">
        <v>1083919</v>
      </c>
      <c r="H403" s="89">
        <v>4.82</v>
      </c>
      <c r="I403" s="91">
        <v>0.10915859999999999</v>
      </c>
      <c r="J403" s="90">
        <v>390876</v>
      </c>
      <c r="K403" s="92">
        <v>42667</v>
      </c>
      <c r="L403" s="90">
        <v>369543</v>
      </c>
      <c r="M403" s="94">
        <v>2116256</v>
      </c>
      <c r="N403" s="89">
        <v>5.41</v>
      </c>
    </row>
    <row r="404" spans="1:14" ht="22.5" customHeight="1">
      <c r="A404" s="108"/>
      <c r="B404" s="93" t="s">
        <v>223</v>
      </c>
      <c r="C404" s="91">
        <v>0.14908104999999999</v>
      </c>
      <c r="D404" s="90">
        <v>193863</v>
      </c>
      <c r="E404" s="92">
        <v>28901</v>
      </c>
      <c r="F404" s="90">
        <v>179413</v>
      </c>
      <c r="G404" s="90">
        <v>874659</v>
      </c>
      <c r="H404" s="89">
        <v>4.51</v>
      </c>
      <c r="I404" s="91">
        <v>0.12147715000000001</v>
      </c>
      <c r="J404" s="90">
        <v>348209</v>
      </c>
      <c r="K404" s="92">
        <v>42299</v>
      </c>
      <c r="L404" s="90">
        <v>327060</v>
      </c>
      <c r="M404" s="94">
        <v>1746713</v>
      </c>
      <c r="N404" s="89">
        <v>5.0199999999999996</v>
      </c>
    </row>
    <row r="405" spans="1:14" ht="22.5" customHeight="1">
      <c r="A405" s="108"/>
      <c r="B405" s="93" t="s">
        <v>222</v>
      </c>
      <c r="C405" s="91">
        <v>0.16205222</v>
      </c>
      <c r="D405" s="90">
        <v>164962</v>
      </c>
      <c r="E405" s="92">
        <v>26732</v>
      </c>
      <c r="F405" s="90">
        <v>151596</v>
      </c>
      <c r="G405" s="90">
        <v>695246</v>
      </c>
      <c r="H405" s="89">
        <v>4.21</v>
      </c>
      <c r="I405" s="91">
        <v>0.13502415000000001</v>
      </c>
      <c r="J405" s="90">
        <v>305910</v>
      </c>
      <c r="K405" s="92">
        <v>41305</v>
      </c>
      <c r="L405" s="90">
        <v>285258</v>
      </c>
      <c r="M405" s="94">
        <v>1419653</v>
      </c>
      <c r="N405" s="89">
        <v>4.6399999999999997</v>
      </c>
    </row>
    <row r="406" spans="1:14" ht="22.5" customHeight="1">
      <c r="A406" s="108"/>
      <c r="B406" s="93" t="s">
        <v>221</v>
      </c>
      <c r="C406" s="91">
        <v>0.17604463000000001</v>
      </c>
      <c r="D406" s="90">
        <v>138230</v>
      </c>
      <c r="E406" s="92">
        <v>24335</v>
      </c>
      <c r="F406" s="90">
        <v>126063</v>
      </c>
      <c r="G406" s="90">
        <v>543650</v>
      </c>
      <c r="H406" s="89">
        <v>3.93</v>
      </c>
      <c r="I406" s="91">
        <v>0.14989259999999999</v>
      </c>
      <c r="J406" s="90">
        <v>264605</v>
      </c>
      <c r="K406" s="92">
        <v>39662</v>
      </c>
      <c r="L406" s="90">
        <v>244774</v>
      </c>
      <c r="M406" s="94">
        <v>1134395</v>
      </c>
      <c r="N406" s="89">
        <v>4.29</v>
      </c>
    </row>
    <row r="407" spans="1:14" ht="22.5" customHeight="1">
      <c r="A407" s="108"/>
      <c r="B407" s="93" t="s">
        <v>220</v>
      </c>
      <c r="C407" s="91">
        <v>0.19111959000000001</v>
      </c>
      <c r="D407" s="90">
        <v>113895</v>
      </c>
      <c r="E407" s="92">
        <v>21768</v>
      </c>
      <c r="F407" s="90">
        <v>103011</v>
      </c>
      <c r="G407" s="90">
        <v>417587</v>
      </c>
      <c r="H407" s="89">
        <v>3.67</v>
      </c>
      <c r="I407" s="91">
        <v>0.16617688999999999</v>
      </c>
      <c r="J407" s="90">
        <v>224943</v>
      </c>
      <c r="K407" s="92">
        <v>37380</v>
      </c>
      <c r="L407" s="90">
        <v>206253</v>
      </c>
      <c r="M407" s="90">
        <v>889621</v>
      </c>
      <c r="N407" s="89">
        <v>3.95</v>
      </c>
    </row>
    <row r="408" spans="1:14" ht="22.5" customHeight="1">
      <c r="A408" s="108"/>
      <c r="B408" s="93" t="s">
        <v>219</v>
      </c>
      <c r="C408" s="91">
        <v>0.20733869999999999</v>
      </c>
      <c r="D408" s="92">
        <v>92127</v>
      </c>
      <c r="E408" s="92">
        <v>19101</v>
      </c>
      <c r="F408" s="92">
        <v>82577</v>
      </c>
      <c r="G408" s="90">
        <v>314576</v>
      </c>
      <c r="H408" s="89">
        <v>3.41</v>
      </c>
      <c r="I408" s="91">
        <v>0.18397156000000001</v>
      </c>
      <c r="J408" s="90">
        <v>187563</v>
      </c>
      <c r="K408" s="92">
        <v>34506</v>
      </c>
      <c r="L408" s="90">
        <v>170310</v>
      </c>
      <c r="M408" s="90">
        <v>683368</v>
      </c>
      <c r="N408" s="89">
        <v>3.64</v>
      </c>
    </row>
    <row r="409" spans="1:14" ht="22.5" customHeight="1">
      <c r="A409" s="108"/>
      <c r="B409" s="93" t="s">
        <v>218</v>
      </c>
      <c r="C409" s="91">
        <v>0.2247632</v>
      </c>
      <c r="D409" s="92">
        <v>73026</v>
      </c>
      <c r="E409" s="92">
        <v>16414</v>
      </c>
      <c r="F409" s="92">
        <v>64819</v>
      </c>
      <c r="G409" s="90">
        <v>231999</v>
      </c>
      <c r="H409" s="89">
        <v>3.18</v>
      </c>
      <c r="I409" s="91">
        <v>0.20336979999999999</v>
      </c>
      <c r="J409" s="90">
        <v>153057</v>
      </c>
      <c r="K409" s="92">
        <v>31127</v>
      </c>
      <c r="L409" s="90">
        <v>137494</v>
      </c>
      <c r="M409" s="90">
        <v>513058</v>
      </c>
      <c r="N409" s="89">
        <v>3.35</v>
      </c>
    </row>
    <row r="410" spans="1:14" ht="22.5" customHeight="1">
      <c r="A410" s="108"/>
      <c r="B410" s="93" t="s">
        <v>217</v>
      </c>
      <c r="C410" s="91">
        <v>1</v>
      </c>
      <c r="D410" s="92">
        <v>56612</v>
      </c>
      <c r="E410" s="92">
        <v>56612</v>
      </c>
      <c r="F410" s="90">
        <v>167180</v>
      </c>
      <c r="G410" s="90">
        <v>167180</v>
      </c>
      <c r="H410" s="89">
        <v>2.95</v>
      </c>
      <c r="I410" s="91">
        <v>1</v>
      </c>
      <c r="J410" s="90">
        <v>121930</v>
      </c>
      <c r="K410" s="90">
        <v>121930</v>
      </c>
      <c r="L410" s="90">
        <v>375564</v>
      </c>
      <c r="M410" s="90">
        <v>375564</v>
      </c>
      <c r="N410" s="89">
        <v>3.08</v>
      </c>
    </row>
    <row r="411" spans="1:14" ht="21" customHeight="1">
      <c r="A411" s="104" t="s">
        <v>210</v>
      </c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</row>
    <row r="412" spans="1:14" ht="21" customHeight="1">
      <c r="A412" s="104" t="s">
        <v>216</v>
      </c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</row>
    <row r="413" spans="1:14" ht="21" customHeight="1">
      <c r="A413" s="104" t="s">
        <v>215</v>
      </c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</row>
    <row r="414" spans="1:14" ht="21" customHeight="1">
      <c r="A414" s="104" t="s">
        <v>214</v>
      </c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</row>
    <row r="415" spans="1:14" ht="21" customHeight="1">
      <c r="A415" s="104" t="s">
        <v>213</v>
      </c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</row>
    <row r="416" spans="1:14" ht="21" customHeight="1">
      <c r="A416" s="104" t="s">
        <v>210</v>
      </c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</row>
    <row r="417" spans="1:14" ht="21" customHeight="1">
      <c r="A417" s="104" t="s">
        <v>212</v>
      </c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</row>
    <row r="418" spans="1:14" ht="70.5" customHeight="1">
      <c r="A418" s="104" t="s">
        <v>211</v>
      </c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</row>
    <row r="419" spans="1:14" ht="21" customHeight="1">
      <c r="A419" s="104" t="s">
        <v>210</v>
      </c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</row>
    <row r="420" spans="1:14" ht="21" customHeight="1">
      <c r="A420" s="104" t="s">
        <v>209</v>
      </c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</row>
  </sheetData>
  <mergeCells count="21">
    <mergeCell ref="A1:N1"/>
    <mergeCell ref="A2:N2"/>
    <mergeCell ref="A3:B3"/>
    <mergeCell ref="C3:H3"/>
    <mergeCell ref="I3:N3"/>
    <mergeCell ref="A310:A410"/>
    <mergeCell ref="A411:N411"/>
    <mergeCell ref="A412:N412"/>
    <mergeCell ref="A413:N413"/>
    <mergeCell ref="A414:N414"/>
    <mergeCell ref="A4:B5"/>
    <mergeCell ref="C6:N6"/>
    <mergeCell ref="A7:A107"/>
    <mergeCell ref="A108:A208"/>
    <mergeCell ref="A209:A309"/>
    <mergeCell ref="A420:N420"/>
    <mergeCell ref="A415:N415"/>
    <mergeCell ref="A416:N416"/>
    <mergeCell ref="A417:N417"/>
    <mergeCell ref="A418:N418"/>
    <mergeCell ref="A419:N419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B990-D19D-CB4A-8F97-DE6923AF56D2}">
  <dimension ref="A1:Q1000"/>
  <sheetViews>
    <sheetView workbookViewId="0">
      <selection activeCell="B9" sqref="B9"/>
    </sheetView>
  </sheetViews>
  <sheetFormatPr baseColWidth="10" defaultRowHeight="16"/>
  <cols>
    <col min="1" max="1" width="21" bestFit="1" customWidth="1"/>
    <col min="2" max="2" width="12.6640625" customWidth="1"/>
    <col min="6" max="6" width="10.83203125" style="84"/>
  </cols>
  <sheetData>
    <row r="1" spans="1:15">
      <c r="D1" s="7" t="s">
        <v>2</v>
      </c>
      <c r="E1" s="7" t="s">
        <v>208</v>
      </c>
      <c r="F1" s="88" t="s">
        <v>207</v>
      </c>
      <c r="G1" s="7" t="s">
        <v>206</v>
      </c>
      <c r="H1" s="7" t="s">
        <v>205</v>
      </c>
      <c r="I1" s="7" t="s">
        <v>204</v>
      </c>
      <c r="J1" s="7" t="s">
        <v>203</v>
      </c>
      <c r="K1" s="7"/>
      <c r="M1" s="7" t="s">
        <v>202</v>
      </c>
      <c r="N1" s="7" t="s">
        <v>201</v>
      </c>
      <c r="O1" s="7" t="s">
        <v>200</v>
      </c>
    </row>
    <row r="2" spans="1:15">
      <c r="A2" s="7" t="s">
        <v>199</v>
      </c>
      <c r="D2">
        <f t="shared" ref="D2:D65" ca="1" si="0">NORMINV(RAND(), mean_age, sd_age)</f>
        <v>54.502862948081898</v>
      </c>
      <c r="E2">
        <f t="shared" ref="E2:E65" ca="1" si="1">_xlfn.BINOM.INV(1, prop_female, RAND())</f>
        <v>0</v>
      </c>
      <c r="F2" s="84">
        <f t="shared" ref="F2:F65" si="2">ROUND(G2,0)</f>
        <v>49</v>
      </c>
      <c r="G2">
        <v>49</v>
      </c>
      <c r="H2">
        <v>1</v>
      </c>
      <c r="I2">
        <f t="shared" ref="I2:I65" si="3">IF(G2&lt;18, 0, 1)</f>
        <v>1</v>
      </c>
      <c r="J2">
        <f t="shared" ref="J2:J65" si="4">IF(H2=0,VLOOKUP(G2,$M$2:$O$102,2,TRUE),VLOOKUP(G2,$M$2:$O$102,3,TRUE))</f>
        <v>1.1877400000000001E-3</v>
      </c>
      <c r="M2">
        <v>0</v>
      </c>
      <c r="N2">
        <f>'Life table'!C310</f>
        <v>1.4987500000000001E-3</v>
      </c>
      <c r="O2">
        <f>'Life table'!I310</f>
        <v>1.8345900000000001E-3</v>
      </c>
    </row>
    <row r="3" spans="1:15">
      <c r="A3" t="s">
        <v>198</v>
      </c>
      <c r="B3">
        <v>46.6</v>
      </c>
      <c r="D3">
        <f t="shared" ca="1" si="0"/>
        <v>39.138433371088659</v>
      </c>
      <c r="E3">
        <f t="shared" ca="1" si="1"/>
        <v>1</v>
      </c>
      <c r="F3" s="84">
        <f t="shared" si="2"/>
        <v>40</v>
      </c>
      <c r="G3">
        <v>40</v>
      </c>
      <c r="H3">
        <v>0</v>
      </c>
      <c r="I3">
        <f t="shared" si="3"/>
        <v>1</v>
      </c>
      <c r="J3">
        <f t="shared" si="4"/>
        <v>1.0347399999999999E-3</v>
      </c>
      <c r="M3">
        <v>1</v>
      </c>
      <c r="N3">
        <f>'Life table'!C311</f>
        <v>1.7688E-4</v>
      </c>
      <c r="O3">
        <f>'Life table'!I311</f>
        <v>1.3137000000000001E-4</v>
      </c>
    </row>
    <row r="4" spans="1:15">
      <c r="A4" t="s">
        <v>197</v>
      </c>
      <c r="B4">
        <v>17.8</v>
      </c>
      <c r="D4">
        <f t="shared" ca="1" si="0"/>
        <v>62.267134222712613</v>
      </c>
      <c r="E4">
        <f t="shared" ca="1" si="1"/>
        <v>1</v>
      </c>
      <c r="F4" s="84">
        <f t="shared" si="2"/>
        <v>52</v>
      </c>
      <c r="G4">
        <v>52</v>
      </c>
      <c r="H4">
        <v>0</v>
      </c>
      <c r="I4">
        <f t="shared" si="3"/>
        <v>1</v>
      </c>
      <c r="J4">
        <f t="shared" si="4"/>
        <v>3.3874700000000001E-3</v>
      </c>
      <c r="M4">
        <v>2</v>
      </c>
      <c r="N4">
        <f>'Life table'!C312</f>
        <v>1.4889999999999999E-4</v>
      </c>
      <c r="O4">
        <f>'Life table'!I312</f>
        <v>1.1612000000000001E-4</v>
      </c>
    </row>
    <row r="5" spans="1:15">
      <c r="A5" t="s">
        <v>196</v>
      </c>
      <c r="B5">
        <v>0.746</v>
      </c>
      <c r="D5">
        <f t="shared" ca="1" si="0"/>
        <v>51.249687783111931</v>
      </c>
      <c r="E5">
        <f t="shared" ca="1" si="1"/>
        <v>0</v>
      </c>
      <c r="F5" s="84">
        <f t="shared" si="2"/>
        <v>41</v>
      </c>
      <c r="G5">
        <v>41</v>
      </c>
      <c r="H5">
        <v>1</v>
      </c>
      <c r="I5">
        <f t="shared" si="3"/>
        <v>1</v>
      </c>
      <c r="J5">
        <f t="shared" si="4"/>
        <v>5.6607000000000001E-4</v>
      </c>
      <c r="M5">
        <v>3</v>
      </c>
      <c r="N5">
        <f>'Life table'!C313</f>
        <v>1.2517E-4</v>
      </c>
      <c r="O5">
        <f>'Life table'!I313</f>
        <v>1.0444E-4</v>
      </c>
    </row>
    <row r="6" spans="1:15">
      <c r="D6">
        <f t="shared" ca="1" si="0"/>
        <v>49.728255214244285</v>
      </c>
      <c r="E6">
        <f t="shared" ca="1" si="1"/>
        <v>1</v>
      </c>
      <c r="F6" s="84">
        <f t="shared" si="2"/>
        <v>41</v>
      </c>
      <c r="G6">
        <v>41</v>
      </c>
      <c r="H6">
        <v>1</v>
      </c>
      <c r="I6">
        <f t="shared" si="3"/>
        <v>1</v>
      </c>
      <c r="J6">
        <f t="shared" si="4"/>
        <v>5.6607000000000001E-4</v>
      </c>
      <c r="M6">
        <v>4</v>
      </c>
      <c r="N6">
        <f>'Life table'!C314</f>
        <v>1.0569E-4</v>
      </c>
      <c r="O6">
        <f>'Life table'!I314</f>
        <v>9.6349999999999997E-5</v>
      </c>
    </row>
    <row r="7" spans="1:15">
      <c r="D7">
        <f t="shared" ca="1" si="0"/>
        <v>48.071221916194844</v>
      </c>
      <c r="E7">
        <f t="shared" ca="1" si="1"/>
        <v>1</v>
      </c>
      <c r="F7" s="84">
        <f t="shared" si="2"/>
        <v>39</v>
      </c>
      <c r="G7">
        <v>39</v>
      </c>
      <c r="H7">
        <v>1</v>
      </c>
      <c r="I7">
        <f t="shared" si="3"/>
        <v>1</v>
      </c>
      <c r="J7">
        <f t="shared" si="4"/>
        <v>4.8622999999999998E-4</v>
      </c>
      <c r="M7">
        <v>5</v>
      </c>
      <c r="N7">
        <f>'Life table'!C315</f>
        <v>9.0649999999999994E-5</v>
      </c>
      <c r="O7">
        <f>'Life table'!I315</f>
        <v>9.1749999999999994E-5</v>
      </c>
    </row>
    <row r="8" spans="1:15">
      <c r="A8" s="7" t="s">
        <v>195</v>
      </c>
      <c r="D8">
        <f t="shared" ca="1" si="0"/>
        <v>64.651873027431606</v>
      </c>
      <c r="E8">
        <f t="shared" ca="1" si="1"/>
        <v>1</v>
      </c>
      <c r="F8" s="84">
        <f t="shared" si="2"/>
        <v>61</v>
      </c>
      <c r="G8">
        <v>61</v>
      </c>
      <c r="H8">
        <v>1</v>
      </c>
      <c r="I8">
        <f t="shared" si="3"/>
        <v>1</v>
      </c>
      <c r="J8">
        <f t="shared" si="4"/>
        <v>3.2876200000000002E-3</v>
      </c>
      <c r="M8">
        <v>6</v>
      </c>
      <c r="N8">
        <f>'Life table'!C316</f>
        <v>8.0420000000000006E-5</v>
      </c>
      <c r="O8">
        <f>'Life table'!I316</f>
        <v>9.0459999999999998E-5</v>
      </c>
    </row>
    <row r="9" spans="1:15">
      <c r="A9" t="s">
        <v>194</v>
      </c>
      <c r="B9" s="87">
        <f>SUMIF(I2:I1000, 1, G2:G1000)/COUNTIF(I2:I1000, 1)</f>
        <v>48.697452229299365</v>
      </c>
      <c r="D9">
        <f t="shared" ca="1" si="0"/>
        <v>28.536651980822906</v>
      </c>
      <c r="E9">
        <f t="shared" ca="1" si="1"/>
        <v>1</v>
      </c>
      <c r="F9" s="84">
        <f t="shared" si="2"/>
        <v>32</v>
      </c>
      <c r="G9">
        <v>32</v>
      </c>
      <c r="H9">
        <v>1</v>
      </c>
      <c r="I9">
        <f t="shared" si="3"/>
        <v>1</v>
      </c>
      <c r="J9">
        <f t="shared" si="4"/>
        <v>3.1137E-4</v>
      </c>
      <c r="M9">
        <v>7</v>
      </c>
      <c r="N9">
        <f>'Life table'!C317</f>
        <v>7.4999999999999993E-5</v>
      </c>
      <c r="O9">
        <f>'Life table'!I317</f>
        <v>9.2239999999999998E-5</v>
      </c>
    </row>
    <row r="10" spans="1:15">
      <c r="A10" t="s">
        <v>193</v>
      </c>
      <c r="B10" s="86">
        <f>SUMIF(I2:I1000, 1, H2:H1000)/COUNTIF(I2:I1000, 1)</f>
        <v>0.75477707006369432</v>
      </c>
      <c r="D10">
        <f t="shared" ca="1" si="0"/>
        <v>49.789120991863953</v>
      </c>
      <c r="E10">
        <f t="shared" ca="1" si="1"/>
        <v>1</v>
      </c>
      <c r="F10" s="84">
        <f t="shared" si="2"/>
        <v>42</v>
      </c>
      <c r="G10">
        <v>42</v>
      </c>
      <c r="H10">
        <v>1</v>
      </c>
      <c r="I10">
        <f t="shared" si="3"/>
        <v>1</v>
      </c>
      <c r="J10">
        <f t="shared" si="4"/>
        <v>6.1160999999999995E-4</v>
      </c>
      <c r="M10">
        <v>8</v>
      </c>
      <c r="N10">
        <f>'Life table'!C318</f>
        <v>7.5339999999999994E-5</v>
      </c>
      <c r="O10">
        <f>'Life table'!I318</f>
        <v>9.6520000000000004E-5</v>
      </c>
    </row>
    <row r="11" spans="1:15">
      <c r="A11" t="s">
        <v>192</v>
      </c>
      <c r="B11" s="85">
        <f>SUMIF(I2:I1000, 1, J2:J1000)/COUNTIF(I2:I1000, 1)</f>
        <v>6.3634714118896022E-3</v>
      </c>
      <c r="D11">
        <f t="shared" ca="1" si="0"/>
        <v>53.367311616094554</v>
      </c>
      <c r="E11">
        <f t="shared" ca="1" si="1"/>
        <v>1</v>
      </c>
      <c r="F11" s="84">
        <f t="shared" si="2"/>
        <v>52</v>
      </c>
      <c r="G11">
        <v>52</v>
      </c>
      <c r="H11">
        <v>1</v>
      </c>
      <c r="I11">
        <f t="shared" si="3"/>
        <v>1</v>
      </c>
      <c r="J11">
        <f t="shared" si="4"/>
        <v>1.60396E-3</v>
      </c>
      <c r="M11">
        <v>9</v>
      </c>
      <c r="N11">
        <f>'Life table'!C319</f>
        <v>8.2379999999999994E-5</v>
      </c>
      <c r="O11">
        <f>'Life table'!I319</f>
        <v>1.0249E-4</v>
      </c>
    </row>
    <row r="12" spans="1:15">
      <c r="A12" t="s">
        <v>191</v>
      </c>
      <c r="B12" s="59">
        <f>B11*1.58*1.51</f>
        <v>1.5181970094486215E-2</v>
      </c>
      <c r="D12">
        <f t="shared" ca="1" si="0"/>
        <v>39.12656276055376</v>
      </c>
      <c r="E12">
        <f t="shared" ca="1" si="1"/>
        <v>1</v>
      </c>
      <c r="F12" s="84">
        <f t="shared" si="2"/>
        <v>42</v>
      </c>
      <c r="G12">
        <v>42</v>
      </c>
      <c r="H12">
        <v>1</v>
      </c>
      <c r="I12">
        <f t="shared" si="3"/>
        <v>1</v>
      </c>
      <c r="J12">
        <f t="shared" si="4"/>
        <v>6.1160999999999995E-4</v>
      </c>
      <c r="M12">
        <v>10</v>
      </c>
      <c r="N12">
        <f>'Life table'!C320</f>
        <v>9.6869999999999999E-5</v>
      </c>
      <c r="O12">
        <f>'Life table'!I320</f>
        <v>1.0935E-4</v>
      </c>
    </row>
    <row r="13" spans="1:15">
      <c r="D13">
        <f t="shared" ca="1" si="0"/>
        <v>44.745572860999943</v>
      </c>
      <c r="E13">
        <f t="shared" ca="1" si="1"/>
        <v>1</v>
      </c>
      <c r="F13" s="84">
        <f t="shared" si="2"/>
        <v>45</v>
      </c>
      <c r="G13">
        <v>45</v>
      </c>
      <c r="H13">
        <v>1</v>
      </c>
      <c r="I13">
        <f t="shared" si="3"/>
        <v>1</v>
      </c>
      <c r="J13">
        <f t="shared" si="4"/>
        <v>7.9022999999999995E-4</v>
      </c>
      <c r="M13">
        <v>11</v>
      </c>
      <c r="N13">
        <f>'Life table'!C321</f>
        <v>1.1922E-4</v>
      </c>
      <c r="O13">
        <f>'Life table'!I321</f>
        <v>1.1621E-4</v>
      </c>
    </row>
    <row r="14" spans="1:15">
      <c r="D14">
        <f t="shared" ca="1" si="0"/>
        <v>50.703017579812553</v>
      </c>
      <c r="E14">
        <f t="shared" ca="1" si="1"/>
        <v>0</v>
      </c>
      <c r="F14" s="84">
        <f t="shared" si="2"/>
        <v>66</v>
      </c>
      <c r="G14">
        <v>66</v>
      </c>
      <c r="H14">
        <v>1</v>
      </c>
      <c r="I14">
        <f t="shared" si="3"/>
        <v>1</v>
      </c>
      <c r="J14">
        <f t="shared" si="4"/>
        <v>4.7119800000000002E-3</v>
      </c>
      <c r="M14">
        <v>12</v>
      </c>
      <c r="N14">
        <f>'Life table'!C322</f>
        <v>1.4908E-4</v>
      </c>
      <c r="O14">
        <f>'Life table'!I322</f>
        <v>1.2228E-4</v>
      </c>
    </row>
    <row r="15" spans="1:15">
      <c r="D15">
        <f t="shared" ca="1" si="0"/>
        <v>29.734909585402427</v>
      </c>
      <c r="E15">
        <f t="shared" ca="1" si="1"/>
        <v>1</v>
      </c>
      <c r="F15" s="84">
        <f t="shared" si="2"/>
        <v>46</v>
      </c>
      <c r="G15">
        <v>46</v>
      </c>
      <c r="H15">
        <v>1</v>
      </c>
      <c r="I15">
        <f t="shared" si="3"/>
        <v>1</v>
      </c>
      <c r="J15">
        <f t="shared" si="4"/>
        <v>8.7060000000000002E-4</v>
      </c>
      <c r="M15">
        <v>13</v>
      </c>
      <c r="N15">
        <f>'Life table'!C323</f>
        <v>1.8462E-4</v>
      </c>
      <c r="O15">
        <f>'Life table'!I323</f>
        <v>1.2721999999999999E-4</v>
      </c>
    </row>
    <row r="16" spans="1:15">
      <c r="D16">
        <f t="shared" ca="1" si="0"/>
        <v>37.563462722210495</v>
      </c>
      <c r="E16">
        <f t="shared" ca="1" si="1"/>
        <v>1</v>
      </c>
      <c r="F16" s="84">
        <f t="shared" si="2"/>
        <v>23</v>
      </c>
      <c r="G16">
        <v>23</v>
      </c>
      <c r="H16">
        <v>0</v>
      </c>
      <c r="I16">
        <f t="shared" si="3"/>
        <v>1</v>
      </c>
      <c r="J16">
        <f t="shared" si="4"/>
        <v>3.1492E-4</v>
      </c>
      <c r="M16">
        <v>14</v>
      </c>
      <c r="N16">
        <f>'Life table'!C324</f>
        <v>2.231E-4</v>
      </c>
      <c r="O16">
        <f>'Life table'!I324</f>
        <v>1.3108999999999999E-4</v>
      </c>
    </row>
    <row r="17" spans="4:15">
      <c r="D17">
        <f t="shared" ca="1" si="0"/>
        <v>44.253370956927</v>
      </c>
      <c r="E17">
        <f t="shared" ca="1" si="1"/>
        <v>0</v>
      </c>
      <c r="F17" s="84">
        <f t="shared" si="2"/>
        <v>20</v>
      </c>
      <c r="G17">
        <v>20</v>
      </c>
      <c r="H17">
        <v>1</v>
      </c>
      <c r="I17">
        <f t="shared" si="3"/>
        <v>1</v>
      </c>
      <c r="J17">
        <f t="shared" si="4"/>
        <v>1.6644000000000001E-4</v>
      </c>
      <c r="M17">
        <v>15</v>
      </c>
      <c r="N17">
        <f>'Life table'!C325</f>
        <v>2.5823000000000003E-4</v>
      </c>
      <c r="O17">
        <f>'Life table'!I325</f>
        <v>1.3402999999999999E-4</v>
      </c>
    </row>
    <row r="18" spans="4:15">
      <c r="D18">
        <f t="shared" ca="1" si="0"/>
        <v>83.954828346353651</v>
      </c>
      <c r="E18">
        <f t="shared" ca="1" si="1"/>
        <v>1</v>
      </c>
      <c r="F18" s="84">
        <f t="shared" si="2"/>
        <v>7</v>
      </c>
      <c r="G18">
        <v>7</v>
      </c>
      <c r="H18">
        <v>1</v>
      </c>
      <c r="I18">
        <f t="shared" si="3"/>
        <v>0</v>
      </c>
      <c r="J18">
        <f t="shared" si="4"/>
        <v>9.2239999999999998E-5</v>
      </c>
      <c r="M18">
        <v>16</v>
      </c>
      <c r="N18">
        <f>'Life table'!C326</f>
        <v>2.8579000000000001E-4</v>
      </c>
      <c r="O18">
        <f>'Life table'!I326</f>
        <v>1.3677000000000001E-4</v>
      </c>
    </row>
    <row r="19" spans="4:15">
      <c r="D19">
        <f t="shared" ca="1" si="0"/>
        <v>48.24596939048083</v>
      </c>
      <c r="E19">
        <f t="shared" ca="1" si="1"/>
        <v>1</v>
      </c>
      <c r="F19" s="84">
        <f t="shared" si="2"/>
        <v>44</v>
      </c>
      <c r="G19">
        <v>44</v>
      </c>
      <c r="H19">
        <v>1</v>
      </c>
      <c r="I19">
        <f t="shared" si="3"/>
        <v>1</v>
      </c>
      <c r="J19">
        <f t="shared" si="4"/>
        <v>7.2154999999999995E-4</v>
      </c>
      <c r="M19">
        <v>17</v>
      </c>
      <c r="N19">
        <f>'Life table'!C327</f>
        <v>3.0355999999999997E-4</v>
      </c>
      <c r="O19">
        <f>'Life table'!I327</f>
        <v>1.406E-4</v>
      </c>
    </row>
    <row r="20" spans="4:15">
      <c r="D20">
        <f t="shared" ca="1" si="0"/>
        <v>47.413241398252858</v>
      </c>
      <c r="E20">
        <f t="shared" ca="1" si="1"/>
        <v>0</v>
      </c>
      <c r="F20" s="84">
        <f t="shared" si="2"/>
        <v>111</v>
      </c>
      <c r="G20">
        <v>111</v>
      </c>
      <c r="H20">
        <v>1</v>
      </c>
      <c r="I20">
        <f t="shared" si="3"/>
        <v>1</v>
      </c>
      <c r="J20">
        <f t="shared" si="4"/>
        <v>1</v>
      </c>
      <c r="M20">
        <v>18</v>
      </c>
      <c r="N20">
        <f>'Life table'!C328</f>
        <v>3.1105E-4</v>
      </c>
      <c r="O20">
        <f>'Life table'!I328</f>
        <v>1.4616999999999999E-4</v>
      </c>
    </row>
    <row r="21" spans="4:15">
      <c r="D21">
        <f t="shared" ca="1" si="0"/>
        <v>49.736061283434111</v>
      </c>
      <c r="E21">
        <f t="shared" ca="1" si="1"/>
        <v>1</v>
      </c>
      <c r="F21" s="84">
        <f t="shared" si="2"/>
        <v>52</v>
      </c>
      <c r="G21">
        <v>52</v>
      </c>
      <c r="H21">
        <v>1</v>
      </c>
      <c r="I21">
        <f t="shared" si="3"/>
        <v>1</v>
      </c>
      <c r="J21">
        <f t="shared" si="4"/>
        <v>1.60396E-3</v>
      </c>
      <c r="M21">
        <v>19</v>
      </c>
      <c r="N21">
        <f>'Life table'!C329</f>
        <v>3.0982999999999998E-4</v>
      </c>
      <c r="O21">
        <f>'Life table'!I329</f>
        <v>1.5410000000000001E-4</v>
      </c>
    </row>
    <row r="22" spans="4:15">
      <c r="D22">
        <f t="shared" ca="1" si="0"/>
        <v>57.976958779017032</v>
      </c>
      <c r="E22">
        <f t="shared" ca="1" si="1"/>
        <v>1</v>
      </c>
      <c r="F22" s="84">
        <f t="shared" si="2"/>
        <v>49</v>
      </c>
      <c r="G22">
        <v>49</v>
      </c>
      <c r="H22">
        <v>1</v>
      </c>
      <c r="I22">
        <f t="shared" si="3"/>
        <v>1</v>
      </c>
      <c r="J22">
        <f t="shared" si="4"/>
        <v>1.1877400000000001E-3</v>
      </c>
      <c r="M22">
        <v>20</v>
      </c>
      <c r="N22">
        <f>'Life table'!C330</f>
        <v>3.0442000000000002E-4</v>
      </c>
      <c r="O22">
        <f>'Life table'!I330</f>
        <v>1.6644000000000001E-4</v>
      </c>
    </row>
    <row r="23" spans="4:15">
      <c r="D23">
        <f t="shared" ca="1" si="0"/>
        <v>38.025890407806855</v>
      </c>
      <c r="E23">
        <f t="shared" ca="1" si="1"/>
        <v>1</v>
      </c>
      <c r="F23" s="84">
        <f t="shared" si="2"/>
        <v>37</v>
      </c>
      <c r="G23">
        <v>37</v>
      </c>
      <c r="H23">
        <v>0</v>
      </c>
      <c r="I23">
        <f t="shared" si="3"/>
        <v>1</v>
      </c>
      <c r="J23">
        <f t="shared" si="4"/>
        <v>8.3212E-4</v>
      </c>
      <c r="M23">
        <v>21</v>
      </c>
      <c r="N23">
        <f>'Life table'!C331</f>
        <v>3.0009999999999998E-4</v>
      </c>
      <c r="O23">
        <f>'Life table'!I331</f>
        <v>1.8384E-4</v>
      </c>
    </row>
    <row r="24" spans="4:15">
      <c r="D24">
        <f t="shared" ca="1" si="0"/>
        <v>14.239762832310525</v>
      </c>
      <c r="E24">
        <f t="shared" ca="1" si="1"/>
        <v>0</v>
      </c>
      <c r="F24" s="84">
        <f t="shared" si="2"/>
        <v>28</v>
      </c>
      <c r="G24">
        <v>28</v>
      </c>
      <c r="H24">
        <v>1</v>
      </c>
      <c r="I24">
        <f t="shared" si="3"/>
        <v>1</v>
      </c>
      <c r="J24">
        <f t="shared" si="4"/>
        <v>3.1845000000000002E-4</v>
      </c>
      <c r="M24">
        <v>22</v>
      </c>
      <c r="N24">
        <f>'Life table'!C332</f>
        <v>3.0280999999999998E-4</v>
      </c>
      <c r="O24">
        <f>'Life table'!I332</f>
        <v>2.0557E-4</v>
      </c>
    </row>
    <row r="25" spans="4:15">
      <c r="D25">
        <f t="shared" ca="1" si="0"/>
        <v>51.953933251951923</v>
      </c>
      <c r="E25">
        <f t="shared" ca="1" si="1"/>
        <v>1</v>
      </c>
      <c r="F25" s="84">
        <f t="shared" si="2"/>
        <v>39</v>
      </c>
      <c r="G25">
        <v>39</v>
      </c>
      <c r="H25">
        <v>1</v>
      </c>
      <c r="I25">
        <f t="shared" si="3"/>
        <v>1</v>
      </c>
      <c r="J25">
        <f t="shared" si="4"/>
        <v>4.8622999999999998E-4</v>
      </c>
      <c r="M25">
        <v>23</v>
      </c>
      <c r="N25">
        <f>'Life table'!C333</f>
        <v>3.1492E-4</v>
      </c>
      <c r="O25">
        <f>'Life table'!I333</f>
        <v>2.3068000000000001E-4</v>
      </c>
    </row>
    <row r="26" spans="4:15">
      <c r="D26">
        <f t="shared" ca="1" si="0"/>
        <v>57.889970331335924</v>
      </c>
      <c r="E26">
        <f t="shared" ca="1" si="1"/>
        <v>1</v>
      </c>
      <c r="F26" s="84">
        <f t="shared" si="2"/>
        <v>56</v>
      </c>
      <c r="G26">
        <v>56</v>
      </c>
      <c r="H26">
        <v>1</v>
      </c>
      <c r="I26">
        <f t="shared" si="3"/>
        <v>1</v>
      </c>
      <c r="J26">
        <f t="shared" si="4"/>
        <v>2.2598000000000002E-3</v>
      </c>
      <c r="M26">
        <v>24</v>
      </c>
      <c r="N26">
        <f>'Life table'!C334</f>
        <v>3.3712E-4</v>
      </c>
      <c r="O26">
        <f>'Life table'!I334</f>
        <v>2.5754E-4</v>
      </c>
    </row>
    <row r="27" spans="4:15">
      <c r="D27">
        <f t="shared" ca="1" si="0"/>
        <v>-12.503775583177315</v>
      </c>
      <c r="E27">
        <f t="shared" ca="1" si="1"/>
        <v>1</v>
      </c>
      <c r="F27" s="84">
        <f t="shared" si="2"/>
        <v>19</v>
      </c>
      <c r="G27">
        <v>19</v>
      </c>
      <c r="H27">
        <v>1</v>
      </c>
      <c r="I27">
        <f t="shared" si="3"/>
        <v>1</v>
      </c>
      <c r="J27">
        <f t="shared" si="4"/>
        <v>1.5410000000000001E-4</v>
      </c>
      <c r="M27">
        <v>25</v>
      </c>
      <c r="N27">
        <f>'Life table'!C335</f>
        <v>3.6846999999999997E-4</v>
      </c>
      <c r="O27">
        <f>'Life table'!I335</f>
        <v>2.8196999999999999E-4</v>
      </c>
    </row>
    <row r="28" spans="4:15">
      <c r="D28">
        <f t="shared" ca="1" si="0"/>
        <v>61.902554974109222</v>
      </c>
      <c r="E28">
        <f t="shared" ca="1" si="1"/>
        <v>1</v>
      </c>
      <c r="F28" s="84">
        <f t="shared" si="2"/>
        <v>29</v>
      </c>
      <c r="G28">
        <v>29</v>
      </c>
      <c r="H28">
        <v>1</v>
      </c>
      <c r="I28">
        <f t="shared" si="3"/>
        <v>1</v>
      </c>
      <c r="J28">
        <f t="shared" si="4"/>
        <v>3.1763000000000001E-4</v>
      </c>
      <c r="M28">
        <v>26</v>
      </c>
      <c r="N28">
        <f>'Life table'!C336</f>
        <v>4.0611E-4</v>
      </c>
      <c r="O28">
        <f>'Life table'!I336</f>
        <v>3.0111E-4</v>
      </c>
    </row>
    <row r="29" spans="4:15">
      <c r="D29">
        <f t="shared" ca="1" si="0"/>
        <v>43.115491723281963</v>
      </c>
      <c r="E29">
        <f t="shared" ca="1" si="1"/>
        <v>1</v>
      </c>
      <c r="F29" s="84">
        <f t="shared" si="2"/>
        <v>60</v>
      </c>
      <c r="G29">
        <v>60</v>
      </c>
      <c r="H29">
        <v>0</v>
      </c>
      <c r="I29">
        <f t="shared" si="3"/>
        <v>1</v>
      </c>
      <c r="J29">
        <f t="shared" si="4"/>
        <v>6.1923100000000003E-3</v>
      </c>
      <c r="M29">
        <v>27</v>
      </c>
      <c r="N29">
        <f>'Life table'!C337</f>
        <v>4.4526E-4</v>
      </c>
      <c r="O29">
        <f>'Life table'!I337</f>
        <v>3.1334000000000001E-4</v>
      </c>
    </row>
    <row r="30" spans="4:15">
      <c r="D30">
        <f t="shared" ca="1" si="0"/>
        <v>3.4391494877346531</v>
      </c>
      <c r="E30">
        <f t="shared" ca="1" si="1"/>
        <v>1</v>
      </c>
      <c r="F30" s="84">
        <f t="shared" si="2"/>
        <v>59</v>
      </c>
      <c r="G30">
        <v>59</v>
      </c>
      <c r="H30">
        <v>0</v>
      </c>
      <c r="I30">
        <f t="shared" si="3"/>
        <v>1</v>
      </c>
      <c r="J30">
        <f t="shared" si="4"/>
        <v>5.67755E-3</v>
      </c>
      <c r="M30">
        <v>28</v>
      </c>
      <c r="N30">
        <f>'Life table'!C338</f>
        <v>4.8446999999999997E-4</v>
      </c>
      <c r="O30">
        <f>'Life table'!I338</f>
        <v>3.1845000000000002E-4</v>
      </c>
    </row>
    <row r="31" spans="4:15">
      <c r="D31">
        <f t="shared" ca="1" si="0"/>
        <v>52.165639742854374</v>
      </c>
      <c r="E31">
        <f t="shared" ca="1" si="1"/>
        <v>1</v>
      </c>
      <c r="F31" s="84">
        <f t="shared" si="2"/>
        <v>55</v>
      </c>
      <c r="G31">
        <v>55</v>
      </c>
      <c r="H31">
        <v>0</v>
      </c>
      <c r="I31">
        <f t="shared" si="3"/>
        <v>1</v>
      </c>
      <c r="J31">
        <f t="shared" si="4"/>
        <v>4.1453499999999999E-3</v>
      </c>
      <c r="M31">
        <v>29</v>
      </c>
      <c r="N31">
        <f>'Life table'!C339</f>
        <v>5.2287999999999998E-4</v>
      </c>
      <c r="O31">
        <f>'Life table'!I339</f>
        <v>3.1763000000000001E-4</v>
      </c>
    </row>
    <row r="32" spans="4:15">
      <c r="D32">
        <f t="shared" ca="1" si="0"/>
        <v>36.812607669415343</v>
      </c>
      <c r="E32">
        <f t="shared" ca="1" si="1"/>
        <v>0</v>
      </c>
      <c r="F32" s="84">
        <f t="shared" si="2"/>
        <v>37</v>
      </c>
      <c r="G32">
        <v>37</v>
      </c>
      <c r="H32">
        <v>0</v>
      </c>
      <c r="I32">
        <f t="shared" si="3"/>
        <v>1</v>
      </c>
      <c r="J32">
        <f t="shared" si="4"/>
        <v>8.3212E-4</v>
      </c>
      <c r="M32">
        <v>30</v>
      </c>
      <c r="N32">
        <f>'Life table'!C340</f>
        <v>5.5917E-4</v>
      </c>
      <c r="O32">
        <f>'Life table'!I340</f>
        <v>3.1370999999999998E-4</v>
      </c>
    </row>
    <row r="33" spans="4:15">
      <c r="D33">
        <f t="shared" ca="1" si="0"/>
        <v>36.970652596133178</v>
      </c>
      <c r="E33">
        <f t="shared" ca="1" si="1"/>
        <v>0</v>
      </c>
      <c r="F33" s="84">
        <f t="shared" si="2"/>
        <v>61</v>
      </c>
      <c r="G33">
        <v>61</v>
      </c>
      <c r="H33">
        <v>1</v>
      </c>
      <c r="I33">
        <f t="shared" si="3"/>
        <v>1</v>
      </c>
      <c r="J33">
        <f t="shared" si="4"/>
        <v>3.2876200000000002E-3</v>
      </c>
      <c r="M33">
        <v>31</v>
      </c>
      <c r="N33">
        <f>'Life table'!C341</f>
        <v>5.9367000000000003E-4</v>
      </c>
      <c r="O33">
        <f>'Life table'!I341</f>
        <v>3.1021E-4</v>
      </c>
    </row>
    <row r="34" spans="4:15">
      <c r="D34">
        <f t="shared" ca="1" si="0"/>
        <v>13.614834394664577</v>
      </c>
      <c r="E34">
        <f t="shared" ca="1" si="1"/>
        <v>1</v>
      </c>
      <c r="F34" s="84">
        <f t="shared" si="2"/>
        <v>19</v>
      </c>
      <c r="G34">
        <v>19</v>
      </c>
      <c r="H34">
        <v>0</v>
      </c>
      <c r="I34">
        <f t="shared" si="3"/>
        <v>1</v>
      </c>
      <c r="J34">
        <f t="shared" si="4"/>
        <v>3.0982999999999998E-4</v>
      </c>
      <c r="M34">
        <v>32</v>
      </c>
      <c r="N34">
        <f>'Life table'!C342</f>
        <v>6.2838E-4</v>
      </c>
      <c r="O34">
        <f>'Life table'!I342</f>
        <v>3.1137E-4</v>
      </c>
    </row>
    <row r="35" spans="4:15">
      <c r="D35">
        <f t="shared" ca="1" si="0"/>
        <v>34.69537190940278</v>
      </c>
      <c r="E35">
        <f t="shared" ca="1" si="1"/>
        <v>1</v>
      </c>
      <c r="F35" s="84">
        <f t="shared" si="2"/>
        <v>46</v>
      </c>
      <c r="G35">
        <v>46</v>
      </c>
      <c r="H35">
        <v>1</v>
      </c>
      <c r="I35">
        <f t="shared" si="3"/>
        <v>1</v>
      </c>
      <c r="J35">
        <f t="shared" si="4"/>
        <v>8.7060000000000002E-4</v>
      </c>
      <c r="M35">
        <v>33</v>
      </c>
      <c r="N35">
        <f>'Life table'!C343</f>
        <v>6.6432000000000004E-4</v>
      </c>
      <c r="O35">
        <f>'Life table'!I343</f>
        <v>3.1915999999999997E-4</v>
      </c>
    </row>
    <row r="36" spans="4:15">
      <c r="D36">
        <f t="shared" ca="1" si="0"/>
        <v>44.288728790979746</v>
      </c>
      <c r="E36">
        <f t="shared" ca="1" si="1"/>
        <v>0</v>
      </c>
      <c r="F36" s="84">
        <f t="shared" si="2"/>
        <v>78</v>
      </c>
      <c r="G36">
        <v>78</v>
      </c>
      <c r="H36">
        <v>0</v>
      </c>
      <c r="I36">
        <f t="shared" si="3"/>
        <v>1</v>
      </c>
      <c r="J36">
        <f t="shared" si="4"/>
        <v>3.5170260000000002E-2</v>
      </c>
      <c r="M36">
        <v>34</v>
      </c>
      <c r="N36">
        <f>'Life table'!C344</f>
        <v>7.0282000000000005E-4</v>
      </c>
      <c r="O36">
        <f>'Life table'!I344</f>
        <v>3.3452999999999998E-4</v>
      </c>
    </row>
    <row r="37" spans="4:15">
      <c r="D37">
        <f t="shared" ca="1" si="0"/>
        <v>41.599016142554554</v>
      </c>
      <c r="E37">
        <f t="shared" ca="1" si="1"/>
        <v>1</v>
      </c>
      <c r="F37" s="84">
        <f t="shared" si="2"/>
        <v>52</v>
      </c>
      <c r="G37">
        <v>52</v>
      </c>
      <c r="H37">
        <v>0</v>
      </c>
      <c r="I37">
        <f t="shared" si="3"/>
        <v>1</v>
      </c>
      <c r="J37">
        <f t="shared" si="4"/>
        <v>3.3874700000000001E-3</v>
      </c>
      <c r="M37">
        <v>35</v>
      </c>
      <c r="N37">
        <f>'Life table'!C345</f>
        <v>7.4293000000000004E-4</v>
      </c>
      <c r="O37">
        <f>'Life table'!I345</f>
        <v>3.5702999999999999E-4</v>
      </c>
    </row>
    <row r="38" spans="4:15">
      <c r="D38">
        <f t="shared" ca="1" si="0"/>
        <v>59.472594064744726</v>
      </c>
      <c r="E38">
        <f t="shared" ca="1" si="1"/>
        <v>1</v>
      </c>
      <c r="F38" s="84">
        <f t="shared" si="2"/>
        <v>66</v>
      </c>
      <c r="G38">
        <v>66</v>
      </c>
      <c r="H38">
        <v>0</v>
      </c>
      <c r="I38">
        <f t="shared" si="3"/>
        <v>1</v>
      </c>
      <c r="J38">
        <f t="shared" si="4"/>
        <v>1.017536E-2</v>
      </c>
      <c r="M38">
        <v>36</v>
      </c>
      <c r="N38">
        <f>'Life table'!C346</f>
        <v>7.8529000000000001E-4</v>
      </c>
      <c r="O38">
        <f>'Life table'!I346</f>
        <v>3.8510999999999998E-4</v>
      </c>
    </row>
    <row r="39" spans="4:15">
      <c r="D39">
        <f t="shared" ca="1" si="0"/>
        <v>4.0838119057833424</v>
      </c>
      <c r="E39">
        <f t="shared" ca="1" si="1"/>
        <v>1</v>
      </c>
      <c r="F39" s="84">
        <f t="shared" si="2"/>
        <v>37</v>
      </c>
      <c r="G39">
        <v>37</v>
      </c>
      <c r="H39">
        <v>1</v>
      </c>
      <c r="I39">
        <f t="shared" si="3"/>
        <v>1</v>
      </c>
      <c r="J39">
        <f t="shared" si="4"/>
        <v>4.1611000000000003E-4</v>
      </c>
      <c r="M39">
        <v>37</v>
      </c>
      <c r="N39">
        <f>'Life table'!C347</f>
        <v>8.3212E-4</v>
      </c>
      <c r="O39">
        <f>'Life table'!I347</f>
        <v>4.1611000000000003E-4</v>
      </c>
    </row>
    <row r="40" spans="4:15">
      <c r="D40">
        <f t="shared" ca="1" si="0"/>
        <v>19.131033085360404</v>
      </c>
      <c r="E40">
        <f t="shared" ca="1" si="1"/>
        <v>1</v>
      </c>
      <c r="F40" s="84">
        <f t="shared" si="2"/>
        <v>48</v>
      </c>
      <c r="G40">
        <v>48</v>
      </c>
      <c r="H40">
        <v>1</v>
      </c>
      <c r="I40">
        <f t="shared" si="3"/>
        <v>1</v>
      </c>
      <c r="J40">
        <f t="shared" si="4"/>
        <v>1.0691400000000001E-3</v>
      </c>
      <c r="M40">
        <v>38</v>
      </c>
      <c r="N40">
        <f>'Life table'!C348</f>
        <v>8.8648999999999998E-4</v>
      </c>
      <c r="O40">
        <f>'Life table'!I348</f>
        <v>4.4977E-4</v>
      </c>
    </row>
    <row r="41" spans="4:15">
      <c r="D41">
        <f t="shared" ca="1" si="0"/>
        <v>26.808922695289176</v>
      </c>
      <c r="E41">
        <f t="shared" ca="1" si="1"/>
        <v>0</v>
      </c>
      <c r="F41" s="84">
        <f t="shared" si="2"/>
        <v>70</v>
      </c>
      <c r="G41">
        <v>70</v>
      </c>
      <c r="H41">
        <v>1</v>
      </c>
      <c r="I41">
        <f t="shared" si="3"/>
        <v>1</v>
      </c>
      <c r="J41">
        <f t="shared" si="4"/>
        <v>6.7203999999999996E-3</v>
      </c>
      <c r="M41">
        <v>39</v>
      </c>
      <c r="N41">
        <f>'Life table'!C349</f>
        <v>9.5204999999999997E-4</v>
      </c>
      <c r="O41">
        <f>'Life table'!I349</f>
        <v>4.8622999999999998E-4</v>
      </c>
    </row>
    <row r="42" spans="4:15">
      <c r="D42">
        <f t="shared" ca="1" si="0"/>
        <v>77.177313607020949</v>
      </c>
      <c r="E42">
        <f t="shared" ca="1" si="1"/>
        <v>1</v>
      </c>
      <c r="F42" s="84">
        <f t="shared" si="2"/>
        <v>70</v>
      </c>
      <c r="G42">
        <v>70</v>
      </c>
      <c r="H42">
        <v>1</v>
      </c>
      <c r="I42">
        <f t="shared" si="3"/>
        <v>1</v>
      </c>
      <c r="J42">
        <f t="shared" si="4"/>
        <v>6.7203999999999996E-3</v>
      </c>
      <c r="M42">
        <v>40</v>
      </c>
      <c r="N42">
        <f>'Life table'!C350</f>
        <v>1.0347399999999999E-3</v>
      </c>
      <c r="O42">
        <f>'Life table'!I350</f>
        <v>5.2483E-4</v>
      </c>
    </row>
    <row r="43" spans="4:15">
      <c r="D43">
        <f t="shared" ca="1" si="0"/>
        <v>9.0575836420215907</v>
      </c>
      <c r="E43">
        <f t="shared" ca="1" si="1"/>
        <v>1</v>
      </c>
      <c r="F43" s="84">
        <f t="shared" si="2"/>
        <v>39</v>
      </c>
      <c r="G43">
        <v>39</v>
      </c>
      <c r="H43">
        <v>1</v>
      </c>
      <c r="I43">
        <f t="shared" si="3"/>
        <v>1</v>
      </c>
      <c r="J43">
        <f t="shared" si="4"/>
        <v>4.8622999999999998E-4</v>
      </c>
      <c r="M43">
        <v>41</v>
      </c>
      <c r="N43">
        <f>'Life table'!C351</f>
        <v>1.13831E-3</v>
      </c>
      <c r="O43">
        <f>'Life table'!I351</f>
        <v>5.6607000000000001E-4</v>
      </c>
    </row>
    <row r="44" spans="4:15">
      <c r="D44">
        <f t="shared" ca="1" si="0"/>
        <v>39.794358471590023</v>
      </c>
      <c r="E44">
        <f t="shared" ca="1" si="1"/>
        <v>1</v>
      </c>
      <c r="F44" s="84">
        <f t="shared" si="2"/>
        <v>28</v>
      </c>
      <c r="G44">
        <v>28</v>
      </c>
      <c r="H44">
        <v>1</v>
      </c>
      <c r="I44">
        <f t="shared" si="3"/>
        <v>1</v>
      </c>
      <c r="J44">
        <f t="shared" si="4"/>
        <v>3.1845000000000002E-4</v>
      </c>
      <c r="M44">
        <v>42</v>
      </c>
      <c r="N44">
        <f>'Life table'!C352</f>
        <v>1.2642700000000001E-3</v>
      </c>
      <c r="O44">
        <f>'Life table'!I352</f>
        <v>6.1160999999999995E-4</v>
      </c>
    </row>
    <row r="45" spans="4:15">
      <c r="D45">
        <f t="shared" ca="1" si="0"/>
        <v>64.245035285403134</v>
      </c>
      <c r="E45">
        <f t="shared" ca="1" si="1"/>
        <v>1</v>
      </c>
      <c r="F45" s="84">
        <f t="shared" si="2"/>
        <v>69</v>
      </c>
      <c r="G45">
        <v>69</v>
      </c>
      <c r="H45">
        <v>1</v>
      </c>
      <c r="I45">
        <f t="shared" si="3"/>
        <v>1</v>
      </c>
      <c r="J45">
        <f t="shared" si="4"/>
        <v>6.08371E-3</v>
      </c>
      <c r="M45">
        <v>43</v>
      </c>
      <c r="N45">
        <f>'Life table'!C353</f>
        <v>1.4137500000000001E-3</v>
      </c>
      <c r="O45">
        <f>'Life table'!I353</f>
        <v>6.6288000000000002E-4</v>
      </c>
    </row>
    <row r="46" spans="4:15">
      <c r="D46">
        <f t="shared" ca="1" si="0"/>
        <v>86.456747042327123</v>
      </c>
      <c r="E46">
        <f t="shared" ca="1" si="1"/>
        <v>1</v>
      </c>
      <c r="F46" s="84">
        <f t="shared" si="2"/>
        <v>36</v>
      </c>
      <c r="G46">
        <v>36</v>
      </c>
      <c r="H46">
        <v>1</v>
      </c>
      <c r="I46">
        <f t="shared" si="3"/>
        <v>1</v>
      </c>
      <c r="J46">
        <f t="shared" si="4"/>
        <v>3.8510999999999998E-4</v>
      </c>
      <c r="M46">
        <v>44</v>
      </c>
      <c r="N46">
        <f>'Life table'!C354</f>
        <v>1.5861E-3</v>
      </c>
      <c r="O46">
        <f>'Life table'!I354</f>
        <v>7.2154999999999995E-4</v>
      </c>
    </row>
    <row r="47" spans="4:15">
      <c r="D47">
        <f t="shared" ca="1" si="0"/>
        <v>63.684076578413617</v>
      </c>
      <c r="E47">
        <f t="shared" ca="1" si="1"/>
        <v>0</v>
      </c>
      <c r="F47" s="84">
        <f t="shared" si="2"/>
        <v>37</v>
      </c>
      <c r="G47">
        <v>37</v>
      </c>
      <c r="H47">
        <v>0</v>
      </c>
      <c r="I47">
        <f t="shared" si="3"/>
        <v>1</v>
      </c>
      <c r="J47">
        <f t="shared" si="4"/>
        <v>8.3212E-4</v>
      </c>
      <c r="M47">
        <v>45</v>
      </c>
      <c r="N47">
        <f>'Life table'!C355</f>
        <v>1.7798099999999999E-3</v>
      </c>
      <c r="O47">
        <f>'Life table'!I355</f>
        <v>7.9022999999999995E-4</v>
      </c>
    </row>
    <row r="48" spans="4:15">
      <c r="D48">
        <f t="shared" ca="1" si="0"/>
        <v>61.218502514580649</v>
      </c>
      <c r="E48">
        <f t="shared" ca="1" si="1"/>
        <v>1</v>
      </c>
      <c r="F48" s="84">
        <f t="shared" si="2"/>
        <v>80</v>
      </c>
      <c r="G48">
        <v>80</v>
      </c>
      <c r="H48">
        <v>1</v>
      </c>
      <c r="I48">
        <f t="shared" si="3"/>
        <v>1</v>
      </c>
      <c r="J48">
        <f t="shared" si="4"/>
        <v>2.4305960000000001E-2</v>
      </c>
      <c r="M48">
        <v>46</v>
      </c>
      <c r="N48">
        <f>'Life table'!C356</f>
        <v>1.9912900000000002E-3</v>
      </c>
      <c r="O48">
        <f>'Life table'!I356</f>
        <v>8.7060000000000002E-4</v>
      </c>
    </row>
    <row r="49" spans="4:17">
      <c r="D49">
        <f t="shared" ca="1" si="0"/>
        <v>66.87882826232088</v>
      </c>
      <c r="E49">
        <f t="shared" ca="1" si="1"/>
        <v>1</v>
      </c>
      <c r="F49" s="84">
        <f t="shared" si="2"/>
        <v>47</v>
      </c>
      <c r="G49">
        <v>47</v>
      </c>
      <c r="H49">
        <v>0</v>
      </c>
      <c r="I49">
        <f t="shared" si="3"/>
        <v>1</v>
      </c>
      <c r="J49">
        <f t="shared" si="4"/>
        <v>2.2148200000000002E-3</v>
      </c>
      <c r="M49">
        <v>47</v>
      </c>
      <c r="N49">
        <f>'Life table'!C357</f>
        <v>2.2148200000000002E-3</v>
      </c>
      <c r="O49">
        <f>'Life table'!I357</f>
        <v>9.6336999999999996E-4</v>
      </c>
      <c r="Q49" s="85"/>
    </row>
    <row r="50" spans="4:17">
      <c r="D50">
        <f t="shared" ca="1" si="0"/>
        <v>56.461335020811482</v>
      </c>
      <c r="E50">
        <f t="shared" ca="1" si="1"/>
        <v>1</v>
      </c>
      <c r="F50" s="84">
        <f t="shared" si="2"/>
        <v>62</v>
      </c>
      <c r="G50">
        <v>62</v>
      </c>
      <c r="H50">
        <v>1</v>
      </c>
      <c r="I50">
        <f t="shared" si="3"/>
        <v>1</v>
      </c>
      <c r="J50">
        <f t="shared" si="4"/>
        <v>3.5238499999999998E-3</v>
      </c>
      <c r="M50">
        <v>48</v>
      </c>
      <c r="N50">
        <f>'Life table'!C358</f>
        <v>2.4474599999999998E-3</v>
      </c>
      <c r="O50">
        <f>'Life table'!I358</f>
        <v>1.0691400000000001E-3</v>
      </c>
      <c r="Q50" s="85"/>
    </row>
    <row r="51" spans="4:17">
      <c r="D51">
        <f t="shared" ca="1" si="0"/>
        <v>40.479269492717144</v>
      </c>
      <c r="E51">
        <f t="shared" ca="1" si="1"/>
        <v>1</v>
      </c>
      <c r="F51" s="84">
        <f t="shared" si="2"/>
        <v>36</v>
      </c>
      <c r="G51">
        <v>36</v>
      </c>
      <c r="H51">
        <v>1</v>
      </c>
      <c r="I51">
        <f t="shared" si="3"/>
        <v>1</v>
      </c>
      <c r="J51">
        <f t="shared" si="4"/>
        <v>3.8510999999999998E-4</v>
      </c>
      <c r="M51">
        <v>49</v>
      </c>
      <c r="N51">
        <f>'Life table'!C359</f>
        <v>2.6868700000000001E-3</v>
      </c>
      <c r="O51">
        <f>'Life table'!I359</f>
        <v>1.1877400000000001E-3</v>
      </c>
      <c r="Q51" s="85"/>
    </row>
    <row r="52" spans="4:17">
      <c r="D52">
        <f t="shared" ca="1" si="0"/>
        <v>35.392101949003091</v>
      </c>
      <c r="E52">
        <f t="shared" ca="1" si="1"/>
        <v>0</v>
      </c>
      <c r="F52" s="84">
        <f t="shared" si="2"/>
        <v>76</v>
      </c>
      <c r="G52">
        <v>76</v>
      </c>
      <c r="H52">
        <v>0</v>
      </c>
      <c r="I52">
        <f t="shared" si="3"/>
        <v>1</v>
      </c>
      <c r="J52">
        <f t="shared" si="4"/>
        <v>2.802317E-2</v>
      </c>
      <c r="M52">
        <v>50</v>
      </c>
      <c r="N52">
        <f>'Life table'!C360</f>
        <v>2.92384E-3</v>
      </c>
      <c r="O52">
        <f>'Life table'!I360</f>
        <v>1.31766E-3</v>
      </c>
    </row>
    <row r="53" spans="4:17">
      <c r="D53">
        <f t="shared" ca="1" si="0"/>
        <v>72.445736549148023</v>
      </c>
      <c r="E53">
        <f t="shared" ca="1" si="1"/>
        <v>0</v>
      </c>
      <c r="F53" s="84">
        <f t="shared" si="2"/>
        <v>43</v>
      </c>
      <c r="G53">
        <v>43</v>
      </c>
      <c r="H53">
        <v>1</v>
      </c>
      <c r="I53">
        <f t="shared" si="3"/>
        <v>1</v>
      </c>
      <c r="J53">
        <f t="shared" si="4"/>
        <v>6.6288000000000002E-4</v>
      </c>
      <c r="M53">
        <v>51</v>
      </c>
      <c r="N53">
        <f>'Life table'!C361</f>
        <v>3.1559499999999998E-3</v>
      </c>
      <c r="O53">
        <f>'Life table'!I361</f>
        <v>1.4570900000000001E-3</v>
      </c>
    </row>
    <row r="54" spans="4:17">
      <c r="D54">
        <f t="shared" ca="1" si="0"/>
        <v>52.219902164887948</v>
      </c>
      <c r="E54">
        <f t="shared" ca="1" si="1"/>
        <v>0</v>
      </c>
      <c r="F54" s="84">
        <f t="shared" si="2"/>
        <v>52</v>
      </c>
      <c r="G54">
        <v>52</v>
      </c>
      <c r="H54">
        <v>1</v>
      </c>
      <c r="I54">
        <f t="shared" si="3"/>
        <v>1</v>
      </c>
      <c r="J54">
        <f t="shared" si="4"/>
        <v>1.60396E-3</v>
      </c>
      <c r="M54">
        <v>52</v>
      </c>
      <c r="N54">
        <f>'Life table'!C362</f>
        <v>3.3874700000000001E-3</v>
      </c>
      <c r="O54">
        <f>'Life table'!I362</f>
        <v>1.60396E-3</v>
      </c>
    </row>
    <row r="55" spans="4:17">
      <c r="D55">
        <f t="shared" ca="1" si="0"/>
        <v>55.41935784834385</v>
      </c>
      <c r="E55">
        <f t="shared" ca="1" si="1"/>
        <v>1</v>
      </c>
      <c r="F55" s="84">
        <f t="shared" si="2"/>
        <v>43</v>
      </c>
      <c r="G55">
        <v>43</v>
      </c>
      <c r="H55">
        <v>1</v>
      </c>
      <c r="I55">
        <f t="shared" si="3"/>
        <v>1</v>
      </c>
      <c r="J55">
        <f t="shared" si="4"/>
        <v>6.6288000000000002E-4</v>
      </c>
      <c r="M55">
        <v>53</v>
      </c>
      <c r="N55">
        <f>'Life table'!C363</f>
        <v>3.6235600000000001E-3</v>
      </c>
      <c r="O55">
        <f>'Life table'!I363</f>
        <v>1.7577700000000001E-3</v>
      </c>
    </row>
    <row r="56" spans="4:17">
      <c r="D56">
        <f t="shared" ca="1" si="0"/>
        <v>59.509646387793993</v>
      </c>
      <c r="E56">
        <f t="shared" ca="1" si="1"/>
        <v>1</v>
      </c>
      <c r="F56" s="84">
        <f t="shared" si="2"/>
        <v>38</v>
      </c>
      <c r="G56">
        <v>38</v>
      </c>
      <c r="H56">
        <v>0</v>
      </c>
      <c r="I56">
        <f t="shared" si="3"/>
        <v>1</v>
      </c>
      <c r="J56">
        <f t="shared" si="4"/>
        <v>8.8648999999999998E-4</v>
      </c>
      <c r="M56">
        <v>54</v>
      </c>
      <c r="N56">
        <f>'Life table'!C364</f>
        <v>3.8724699999999998E-3</v>
      </c>
      <c r="O56">
        <f>'Life table'!I364</f>
        <v>1.9186400000000001E-3</v>
      </c>
    </row>
    <row r="57" spans="4:17">
      <c r="D57">
        <f t="shared" ca="1" si="0"/>
        <v>38.430642832107566</v>
      </c>
      <c r="E57">
        <f t="shared" ca="1" si="1"/>
        <v>0</v>
      </c>
      <c r="F57" s="84">
        <f t="shared" si="2"/>
        <v>79</v>
      </c>
      <c r="G57">
        <v>79</v>
      </c>
      <c r="H57">
        <v>0</v>
      </c>
      <c r="I57">
        <f t="shared" si="3"/>
        <v>1</v>
      </c>
      <c r="J57">
        <f t="shared" si="4"/>
        <v>3.9169790000000003E-2</v>
      </c>
      <c r="M57">
        <v>55</v>
      </c>
      <c r="N57">
        <f>'Life table'!C365</f>
        <v>4.1453499999999999E-3</v>
      </c>
      <c r="O57">
        <f>'Life table'!I365</f>
        <v>2.0857200000000001E-3</v>
      </c>
    </row>
    <row r="58" spans="4:17">
      <c r="D58">
        <f t="shared" ca="1" si="0"/>
        <v>52.256477004870789</v>
      </c>
      <c r="E58">
        <f t="shared" ca="1" si="1"/>
        <v>0</v>
      </c>
      <c r="F58" s="84">
        <f t="shared" si="2"/>
        <v>54</v>
      </c>
      <c r="G58">
        <v>54</v>
      </c>
      <c r="H58">
        <v>1</v>
      </c>
      <c r="I58">
        <f t="shared" si="3"/>
        <v>1</v>
      </c>
      <c r="J58">
        <f t="shared" si="4"/>
        <v>1.9186400000000001E-3</v>
      </c>
      <c r="M58">
        <v>56</v>
      </c>
      <c r="N58">
        <f>'Life table'!C366</f>
        <v>4.4530899999999998E-3</v>
      </c>
      <c r="O58">
        <f>'Life table'!I366</f>
        <v>2.2598000000000002E-3</v>
      </c>
    </row>
    <row r="59" spans="4:17">
      <c r="D59">
        <f t="shared" ca="1" si="0"/>
        <v>43.399643941480797</v>
      </c>
      <c r="E59">
        <f t="shared" ca="1" si="1"/>
        <v>1</v>
      </c>
      <c r="F59" s="84">
        <f t="shared" si="2"/>
        <v>41</v>
      </c>
      <c r="G59">
        <v>41</v>
      </c>
      <c r="H59">
        <v>1</v>
      </c>
      <c r="I59">
        <f t="shared" si="3"/>
        <v>1</v>
      </c>
      <c r="J59">
        <f t="shared" si="4"/>
        <v>5.6607000000000001E-4</v>
      </c>
      <c r="M59">
        <v>57</v>
      </c>
      <c r="N59">
        <f>'Life table'!C367</f>
        <v>4.8062900000000004E-3</v>
      </c>
      <c r="O59">
        <f>'Life table'!I367</f>
        <v>2.4432899999999999E-3</v>
      </c>
    </row>
    <row r="60" spans="4:17">
      <c r="D60">
        <f t="shared" ca="1" si="0"/>
        <v>66.484558111072175</v>
      </c>
      <c r="E60">
        <f t="shared" ca="1" si="1"/>
        <v>1</v>
      </c>
      <c r="F60" s="84">
        <f t="shared" si="2"/>
        <v>31</v>
      </c>
      <c r="G60">
        <v>31</v>
      </c>
      <c r="H60">
        <v>1</v>
      </c>
      <c r="I60">
        <f t="shared" si="3"/>
        <v>1</v>
      </c>
      <c r="J60">
        <f t="shared" si="4"/>
        <v>3.1021E-4</v>
      </c>
      <c r="M60">
        <v>58</v>
      </c>
      <c r="N60">
        <f>'Life table'!C368</f>
        <v>5.2128900000000004E-3</v>
      </c>
      <c r="O60">
        <f>'Life table'!I368</f>
        <v>2.63817E-3</v>
      </c>
    </row>
    <row r="61" spans="4:17">
      <c r="D61">
        <f t="shared" ca="1" si="0"/>
        <v>74.959904590478587</v>
      </c>
      <c r="E61">
        <f t="shared" ca="1" si="1"/>
        <v>1</v>
      </c>
      <c r="F61" s="84">
        <f t="shared" si="2"/>
        <v>47</v>
      </c>
      <c r="G61">
        <v>47</v>
      </c>
      <c r="H61">
        <v>1</v>
      </c>
      <c r="I61">
        <f t="shared" si="3"/>
        <v>1</v>
      </c>
      <c r="J61">
        <f t="shared" si="4"/>
        <v>9.6336999999999996E-4</v>
      </c>
      <c r="M61">
        <v>59</v>
      </c>
      <c r="N61">
        <f>'Life table'!C369</f>
        <v>5.67755E-3</v>
      </c>
      <c r="O61">
        <f>'Life table'!I369</f>
        <v>2.84666E-3</v>
      </c>
    </row>
    <row r="62" spans="4:17">
      <c r="D62">
        <f t="shared" ca="1" si="0"/>
        <v>56.459364078711715</v>
      </c>
      <c r="E62">
        <f t="shared" ca="1" si="1"/>
        <v>0</v>
      </c>
      <c r="F62" s="84">
        <f t="shared" si="2"/>
        <v>29</v>
      </c>
      <c r="G62">
        <v>29</v>
      </c>
      <c r="H62">
        <v>1</v>
      </c>
      <c r="I62">
        <f t="shared" si="3"/>
        <v>1</v>
      </c>
      <c r="J62">
        <f t="shared" si="4"/>
        <v>3.1763000000000001E-4</v>
      </c>
      <c r="M62">
        <v>60</v>
      </c>
      <c r="N62">
        <f>'Life table'!C370</f>
        <v>6.1923100000000003E-3</v>
      </c>
      <c r="O62">
        <f>'Life table'!I370</f>
        <v>3.06333E-3</v>
      </c>
    </row>
    <row r="63" spans="4:17">
      <c r="D63">
        <f t="shared" ca="1" si="0"/>
        <v>44.711087295390826</v>
      </c>
      <c r="E63">
        <f t="shared" ca="1" si="1"/>
        <v>1</v>
      </c>
      <c r="F63" s="84">
        <f t="shared" si="2"/>
        <v>28</v>
      </c>
      <c r="G63">
        <v>28</v>
      </c>
      <c r="H63">
        <v>1</v>
      </c>
      <c r="I63">
        <f t="shared" si="3"/>
        <v>1</v>
      </c>
      <c r="J63">
        <f t="shared" si="4"/>
        <v>3.1845000000000002E-4</v>
      </c>
      <c r="M63">
        <v>61</v>
      </c>
      <c r="N63">
        <f>'Life table'!C371</f>
        <v>6.7505899999999999E-3</v>
      </c>
      <c r="O63">
        <f>'Life table'!I371</f>
        <v>3.2876200000000002E-3</v>
      </c>
    </row>
    <row r="64" spans="4:17">
      <c r="D64">
        <f t="shared" ca="1" si="0"/>
        <v>40.666022945432402</v>
      </c>
      <c r="E64">
        <f t="shared" ca="1" si="1"/>
        <v>0</v>
      </c>
      <c r="F64" s="84">
        <f t="shared" si="2"/>
        <v>55</v>
      </c>
      <c r="G64">
        <v>55</v>
      </c>
      <c r="H64">
        <v>0</v>
      </c>
      <c r="I64">
        <f t="shared" si="3"/>
        <v>1</v>
      </c>
      <c r="J64">
        <f t="shared" si="4"/>
        <v>4.1453499999999999E-3</v>
      </c>
      <c r="M64">
        <v>62</v>
      </c>
      <c r="N64">
        <f>'Life table'!C372</f>
        <v>7.3471500000000002E-3</v>
      </c>
      <c r="O64">
        <f>'Life table'!I372</f>
        <v>3.5238499999999998E-3</v>
      </c>
    </row>
    <row r="65" spans="4:15">
      <c r="D65">
        <f t="shared" ca="1" si="0"/>
        <v>44.235639878964129</v>
      </c>
      <c r="E65">
        <f t="shared" ca="1" si="1"/>
        <v>0</v>
      </c>
      <c r="F65" s="84">
        <f t="shared" si="2"/>
        <v>37</v>
      </c>
      <c r="G65">
        <v>37</v>
      </c>
      <c r="H65">
        <v>1</v>
      </c>
      <c r="I65">
        <f t="shared" si="3"/>
        <v>1</v>
      </c>
      <c r="J65">
        <f t="shared" si="4"/>
        <v>4.1611000000000003E-4</v>
      </c>
      <c r="M65">
        <v>63</v>
      </c>
      <c r="N65">
        <f>'Life table'!C373</f>
        <v>7.9881299999999995E-3</v>
      </c>
      <c r="O65">
        <f>'Life table'!I373</f>
        <v>3.7797199999999999E-3</v>
      </c>
    </row>
    <row r="66" spans="4:15">
      <c r="D66">
        <f t="shared" ref="D66:D129" ca="1" si="5">NORMINV(RAND(), mean_age, sd_age)</f>
        <v>52.576544441080436</v>
      </c>
      <c r="E66">
        <f t="shared" ref="E66:E129" ca="1" si="6">_xlfn.BINOM.INV(1, prop_female, RAND())</f>
        <v>0</v>
      </c>
      <c r="F66" s="84">
        <f t="shared" ref="F66:F129" si="7">ROUND(G66,0)</f>
        <v>57</v>
      </c>
      <c r="G66">
        <v>57</v>
      </c>
      <c r="H66">
        <v>1</v>
      </c>
      <c r="I66">
        <f t="shared" ref="I66:I129" si="8">IF(G66&lt;18, 0, 1)</f>
        <v>1</v>
      </c>
      <c r="J66">
        <f t="shared" ref="J66:J129" si="9">IF(H66=0,VLOOKUP(G66,$M$2:$O$102,2,TRUE),VLOOKUP(G66,$M$2:$O$102,3,TRUE))</f>
        <v>2.4432899999999999E-3</v>
      </c>
      <c r="M66">
        <v>64</v>
      </c>
      <c r="N66">
        <f>'Life table'!C374</f>
        <v>8.6836399999999994E-3</v>
      </c>
      <c r="O66">
        <f>'Life table'!I374</f>
        <v>4.06529E-3</v>
      </c>
    </row>
    <row r="67" spans="4:15">
      <c r="D67">
        <f t="shared" ca="1" si="5"/>
        <v>40.864576459865724</v>
      </c>
      <c r="E67">
        <f t="shared" ca="1" si="6"/>
        <v>1</v>
      </c>
      <c r="F67" s="84">
        <f t="shared" si="7"/>
        <v>46</v>
      </c>
      <c r="G67">
        <v>46</v>
      </c>
      <c r="H67">
        <v>1</v>
      </c>
      <c r="I67">
        <f t="shared" si="8"/>
        <v>1</v>
      </c>
      <c r="J67">
        <f t="shared" si="9"/>
        <v>8.7060000000000002E-4</v>
      </c>
      <c r="M67">
        <v>65</v>
      </c>
      <c r="N67">
        <f>'Life table'!C375</f>
        <v>9.4118199999999996E-3</v>
      </c>
      <c r="O67">
        <f>'Life table'!I375</f>
        <v>4.3744200000000004E-3</v>
      </c>
    </row>
    <row r="68" spans="4:15">
      <c r="D68">
        <f t="shared" ca="1" si="5"/>
        <v>45.990978106098652</v>
      </c>
      <c r="E68">
        <f t="shared" ca="1" si="6"/>
        <v>1</v>
      </c>
      <c r="F68" s="84">
        <f t="shared" si="7"/>
        <v>61</v>
      </c>
      <c r="G68">
        <v>61</v>
      </c>
      <c r="H68">
        <v>0</v>
      </c>
      <c r="I68">
        <f t="shared" si="8"/>
        <v>1</v>
      </c>
      <c r="J68">
        <f t="shared" si="9"/>
        <v>6.7505899999999999E-3</v>
      </c>
      <c r="M68">
        <v>66</v>
      </c>
      <c r="N68">
        <f>'Life table'!C376</f>
        <v>1.017536E-2</v>
      </c>
      <c r="O68">
        <f>'Life table'!I376</f>
        <v>4.7119800000000002E-3</v>
      </c>
    </row>
    <row r="69" spans="4:15">
      <c r="D69">
        <f t="shared" ca="1" si="5"/>
        <v>16.239738434173052</v>
      </c>
      <c r="E69">
        <f t="shared" ca="1" si="6"/>
        <v>0</v>
      </c>
      <c r="F69" s="84">
        <f t="shared" si="7"/>
        <v>17</v>
      </c>
      <c r="G69">
        <v>17</v>
      </c>
      <c r="H69">
        <v>0</v>
      </c>
      <c r="I69">
        <f t="shared" si="8"/>
        <v>0</v>
      </c>
      <c r="J69">
        <f t="shared" si="9"/>
        <v>3.0355999999999997E-4</v>
      </c>
      <c r="M69">
        <v>67</v>
      </c>
      <c r="N69">
        <f>'Life table'!C377</f>
        <v>1.10014E-2</v>
      </c>
      <c r="O69">
        <f>'Life table'!I377</f>
        <v>5.09392E-3</v>
      </c>
    </row>
    <row r="70" spans="4:15">
      <c r="D70">
        <f t="shared" ca="1" si="5"/>
        <v>52.406003613457656</v>
      </c>
      <c r="E70">
        <f t="shared" ca="1" si="6"/>
        <v>1</v>
      </c>
      <c r="F70" s="84">
        <f t="shared" si="7"/>
        <v>71</v>
      </c>
      <c r="G70">
        <v>71</v>
      </c>
      <c r="H70">
        <v>1</v>
      </c>
      <c r="I70">
        <f t="shared" si="8"/>
        <v>1</v>
      </c>
      <c r="J70">
        <f t="shared" si="9"/>
        <v>7.4666999999999997E-3</v>
      </c>
      <c r="M70">
        <v>68</v>
      </c>
      <c r="N70">
        <f>'Life table'!C378</f>
        <v>1.192709E-2</v>
      </c>
      <c r="O70">
        <f>'Life table'!I378</f>
        <v>5.5425099999999996E-3</v>
      </c>
    </row>
    <row r="71" spans="4:15">
      <c r="D71">
        <f t="shared" ca="1" si="5"/>
        <v>30.445057363580897</v>
      </c>
      <c r="E71">
        <f t="shared" ca="1" si="6"/>
        <v>1</v>
      </c>
      <c r="F71" s="84">
        <f t="shared" si="7"/>
        <v>27</v>
      </c>
      <c r="G71">
        <v>27</v>
      </c>
      <c r="H71">
        <v>1</v>
      </c>
      <c r="I71">
        <f t="shared" si="8"/>
        <v>1</v>
      </c>
      <c r="J71">
        <f t="shared" si="9"/>
        <v>3.1334000000000001E-4</v>
      </c>
      <c r="M71">
        <v>69</v>
      </c>
      <c r="N71">
        <f>'Life table'!C379</f>
        <v>1.299902E-2</v>
      </c>
      <c r="O71">
        <f>'Life table'!I379</f>
        <v>6.08371E-3</v>
      </c>
    </row>
    <row r="72" spans="4:15">
      <c r="D72">
        <f t="shared" ca="1" si="5"/>
        <v>62.60233847466025</v>
      </c>
      <c r="E72">
        <f t="shared" ca="1" si="6"/>
        <v>0</v>
      </c>
      <c r="F72" s="84">
        <f t="shared" si="7"/>
        <v>58</v>
      </c>
      <c r="G72">
        <v>58</v>
      </c>
      <c r="H72">
        <v>1</v>
      </c>
      <c r="I72">
        <f t="shared" si="8"/>
        <v>1</v>
      </c>
      <c r="J72">
        <f t="shared" si="9"/>
        <v>2.63817E-3</v>
      </c>
      <c r="M72">
        <v>70</v>
      </c>
      <c r="N72">
        <f>'Life table'!C380</f>
        <v>1.426932E-2</v>
      </c>
      <c r="O72">
        <f>'Life table'!I380</f>
        <v>6.7203999999999996E-3</v>
      </c>
    </row>
    <row r="73" spans="4:15">
      <c r="D73">
        <f t="shared" ca="1" si="5"/>
        <v>43.067114777487994</v>
      </c>
      <c r="E73">
        <f t="shared" ca="1" si="6"/>
        <v>1</v>
      </c>
      <c r="F73" s="84">
        <f t="shared" si="7"/>
        <v>46</v>
      </c>
      <c r="G73">
        <v>46</v>
      </c>
      <c r="H73">
        <v>1</v>
      </c>
      <c r="I73">
        <f t="shared" si="8"/>
        <v>1</v>
      </c>
      <c r="J73">
        <f t="shared" si="9"/>
        <v>8.7060000000000002E-4</v>
      </c>
      <c r="M73">
        <v>71</v>
      </c>
      <c r="N73">
        <f>'Life table'!C381</f>
        <v>1.5782210000000001E-2</v>
      </c>
      <c r="O73">
        <f>'Life table'!I381</f>
        <v>7.4666999999999997E-3</v>
      </c>
    </row>
    <row r="74" spans="4:15">
      <c r="D74">
        <f t="shared" ca="1" si="5"/>
        <v>66.486829168877108</v>
      </c>
      <c r="E74">
        <f t="shared" ca="1" si="6"/>
        <v>1</v>
      </c>
      <c r="F74" s="84">
        <f t="shared" si="7"/>
        <v>52</v>
      </c>
      <c r="G74">
        <v>52</v>
      </c>
      <c r="H74">
        <v>1</v>
      </c>
      <c r="I74">
        <f t="shared" si="8"/>
        <v>1</v>
      </c>
      <c r="J74">
        <f t="shared" si="9"/>
        <v>1.60396E-3</v>
      </c>
      <c r="M74">
        <v>72</v>
      </c>
      <c r="N74">
        <f>'Life table'!C382</f>
        <v>1.7573970000000001E-2</v>
      </c>
      <c r="O74">
        <f>'Life table'!I382</f>
        <v>8.34792E-3</v>
      </c>
    </row>
    <row r="75" spans="4:15">
      <c r="D75">
        <f t="shared" ca="1" si="5"/>
        <v>70.314451908204731</v>
      </c>
      <c r="E75">
        <f t="shared" ca="1" si="6"/>
        <v>1</v>
      </c>
      <c r="F75" s="84">
        <f t="shared" si="7"/>
        <v>46</v>
      </c>
      <c r="G75">
        <v>46</v>
      </c>
      <c r="H75">
        <v>1</v>
      </c>
      <c r="I75">
        <f t="shared" si="8"/>
        <v>1</v>
      </c>
      <c r="J75">
        <f t="shared" si="9"/>
        <v>8.7060000000000002E-4</v>
      </c>
      <c r="M75">
        <v>73</v>
      </c>
      <c r="N75">
        <f>'Life table'!C383</f>
        <v>1.968131E-2</v>
      </c>
      <c r="O75">
        <f>'Life table'!I383</f>
        <v>9.4021599999999997E-3</v>
      </c>
    </row>
    <row r="76" spans="4:15">
      <c r="D76">
        <f t="shared" ca="1" si="5"/>
        <v>55.463240289851086</v>
      </c>
      <c r="E76">
        <f t="shared" ca="1" si="6"/>
        <v>1</v>
      </c>
      <c r="F76" s="84">
        <f t="shared" si="7"/>
        <v>58</v>
      </c>
      <c r="G76">
        <v>58</v>
      </c>
      <c r="H76">
        <v>1</v>
      </c>
      <c r="I76">
        <f t="shared" si="8"/>
        <v>1</v>
      </c>
      <c r="J76">
        <f t="shared" si="9"/>
        <v>2.63817E-3</v>
      </c>
      <c r="M76">
        <v>74</v>
      </c>
      <c r="N76">
        <f>'Life table'!C384</f>
        <v>2.2126699999999999E-2</v>
      </c>
      <c r="O76">
        <f>'Life table'!I384</f>
        <v>1.066982E-2</v>
      </c>
    </row>
    <row r="77" spans="4:15">
      <c r="D77">
        <f t="shared" ca="1" si="5"/>
        <v>39.014293515527179</v>
      </c>
      <c r="E77">
        <f t="shared" ca="1" si="6"/>
        <v>0</v>
      </c>
      <c r="F77" s="84">
        <f t="shared" si="7"/>
        <v>38</v>
      </c>
      <c r="G77">
        <v>38</v>
      </c>
      <c r="H77">
        <v>1</v>
      </c>
      <c r="I77">
        <f t="shared" si="8"/>
        <v>1</v>
      </c>
      <c r="J77">
        <f t="shared" si="9"/>
        <v>4.4977E-4</v>
      </c>
      <c r="M77">
        <v>75</v>
      </c>
      <c r="N77">
        <f>'Life table'!C385</f>
        <v>2.4910689999999999E-2</v>
      </c>
      <c r="O77">
        <f>'Life table'!I385</f>
        <v>1.2187669999999999E-2</v>
      </c>
    </row>
    <row r="78" spans="4:15">
      <c r="D78">
        <f t="shared" ca="1" si="5"/>
        <v>65.585799463622891</v>
      </c>
      <c r="E78">
        <f t="shared" ca="1" si="6"/>
        <v>1</v>
      </c>
      <c r="F78" s="84">
        <f t="shared" si="7"/>
        <v>78</v>
      </c>
      <c r="G78">
        <v>78</v>
      </c>
      <c r="H78">
        <v>1</v>
      </c>
      <c r="I78">
        <f t="shared" si="8"/>
        <v>1</v>
      </c>
      <c r="J78">
        <f t="shared" si="9"/>
        <v>1.8496809999999999E-2</v>
      </c>
      <c r="M78">
        <v>76</v>
      </c>
      <c r="N78">
        <f>'Life table'!C386</f>
        <v>2.802317E-2</v>
      </c>
      <c r="O78">
        <f>'Life table'!I386</f>
        <v>1.3984959999999999E-2</v>
      </c>
    </row>
    <row r="79" spans="4:15">
      <c r="D79">
        <f t="shared" ca="1" si="5"/>
        <v>60.22197007525147</v>
      </c>
      <c r="E79">
        <f t="shared" ca="1" si="6"/>
        <v>0</v>
      </c>
      <c r="F79" s="84">
        <f t="shared" si="7"/>
        <v>38</v>
      </c>
      <c r="G79">
        <v>38</v>
      </c>
      <c r="H79">
        <v>1</v>
      </c>
      <c r="I79">
        <f t="shared" si="8"/>
        <v>1</v>
      </c>
      <c r="J79">
        <f t="shared" si="9"/>
        <v>4.4977E-4</v>
      </c>
      <c r="M79">
        <v>77</v>
      </c>
      <c r="N79">
        <f>'Life table'!C387</f>
        <v>3.1448959999999998E-2</v>
      </c>
      <c r="O79">
        <f>'Life table'!I387</f>
        <v>1.6082320000000001E-2</v>
      </c>
    </row>
    <row r="80" spans="4:15">
      <c r="D80">
        <f t="shared" ca="1" si="5"/>
        <v>80.790941391366133</v>
      </c>
      <c r="E80">
        <f t="shared" ca="1" si="6"/>
        <v>0</v>
      </c>
      <c r="F80" s="84">
        <f t="shared" si="7"/>
        <v>15</v>
      </c>
      <c r="G80">
        <v>15</v>
      </c>
      <c r="H80">
        <v>0</v>
      </c>
      <c r="I80">
        <f t="shared" si="8"/>
        <v>0</v>
      </c>
      <c r="J80">
        <f t="shared" si="9"/>
        <v>2.5823000000000003E-4</v>
      </c>
      <c r="M80">
        <v>78</v>
      </c>
      <c r="N80">
        <f>'Life table'!C388</f>
        <v>3.5170260000000002E-2</v>
      </c>
      <c r="O80">
        <f>'Life table'!I388</f>
        <v>1.8496809999999999E-2</v>
      </c>
    </row>
    <row r="81" spans="4:15">
      <c r="D81">
        <f t="shared" ca="1" si="5"/>
        <v>6.0687661045987653</v>
      </c>
      <c r="E81">
        <f t="shared" ca="1" si="6"/>
        <v>0</v>
      </c>
      <c r="F81" s="84">
        <f t="shared" si="7"/>
        <v>50</v>
      </c>
      <c r="G81">
        <v>50</v>
      </c>
      <c r="H81">
        <v>0</v>
      </c>
      <c r="I81">
        <f t="shared" si="8"/>
        <v>1</v>
      </c>
      <c r="J81">
        <f t="shared" si="9"/>
        <v>2.92384E-3</v>
      </c>
      <c r="M81">
        <v>79</v>
      </c>
      <c r="N81">
        <f>'Life table'!C389</f>
        <v>3.9169790000000003E-2</v>
      </c>
      <c r="O81">
        <f>'Life table'!I389</f>
        <v>2.1235899999999999E-2</v>
      </c>
    </row>
    <row r="82" spans="4:15">
      <c r="D82">
        <f t="shared" ca="1" si="5"/>
        <v>18.883432524592234</v>
      </c>
      <c r="E82">
        <f t="shared" ca="1" si="6"/>
        <v>1</v>
      </c>
      <c r="F82" s="84">
        <f t="shared" si="7"/>
        <v>29</v>
      </c>
      <c r="G82">
        <v>29</v>
      </c>
      <c r="H82">
        <v>0</v>
      </c>
      <c r="I82">
        <f t="shared" si="8"/>
        <v>1</v>
      </c>
      <c r="J82">
        <f t="shared" si="9"/>
        <v>5.2287999999999998E-4</v>
      </c>
      <c r="M82">
        <v>80</v>
      </c>
      <c r="N82">
        <f>'Life table'!C390</f>
        <v>4.3443530000000001E-2</v>
      </c>
      <c r="O82">
        <f>'Life table'!I390</f>
        <v>2.4305960000000001E-2</v>
      </c>
    </row>
    <row r="83" spans="4:15">
      <c r="D83">
        <f t="shared" ca="1" si="5"/>
        <v>40.12019490350508</v>
      </c>
      <c r="E83">
        <f t="shared" ca="1" si="6"/>
        <v>1</v>
      </c>
      <c r="F83" s="84">
        <f t="shared" si="7"/>
        <v>36</v>
      </c>
      <c r="G83">
        <v>36</v>
      </c>
      <c r="H83">
        <v>1</v>
      </c>
      <c r="I83">
        <f t="shared" si="8"/>
        <v>1</v>
      </c>
      <c r="J83">
        <f t="shared" si="9"/>
        <v>3.8510999999999998E-4</v>
      </c>
      <c r="M83">
        <v>81</v>
      </c>
      <c r="N83">
        <f>'Life table'!C391</f>
        <v>4.7982339999999998E-2</v>
      </c>
      <c r="O83">
        <f>'Life table'!I391</f>
        <v>2.7706680000000001E-2</v>
      </c>
    </row>
    <row r="84" spans="4:15">
      <c r="D84">
        <f t="shared" ca="1" si="5"/>
        <v>31.956607333304582</v>
      </c>
      <c r="E84">
        <f t="shared" ca="1" si="6"/>
        <v>1</v>
      </c>
      <c r="F84" s="84">
        <f t="shared" si="7"/>
        <v>34</v>
      </c>
      <c r="G84">
        <v>34</v>
      </c>
      <c r="H84">
        <v>1</v>
      </c>
      <c r="I84">
        <f t="shared" si="8"/>
        <v>1</v>
      </c>
      <c r="J84">
        <f t="shared" si="9"/>
        <v>3.3452999999999998E-4</v>
      </c>
      <c r="M84">
        <v>82</v>
      </c>
      <c r="N84">
        <f>'Life table'!C392</f>
        <v>5.2779779999999998E-2</v>
      </c>
      <c r="O84">
        <f>'Life table'!I392</f>
        <v>3.1435110000000002E-2</v>
      </c>
    </row>
    <row r="85" spans="4:15">
      <c r="D85">
        <f t="shared" ca="1" si="5"/>
        <v>16.427867843131342</v>
      </c>
      <c r="E85">
        <f t="shared" ca="1" si="6"/>
        <v>0</v>
      </c>
      <c r="F85" s="84">
        <f t="shared" si="7"/>
        <v>26</v>
      </c>
      <c r="G85">
        <v>26</v>
      </c>
      <c r="H85">
        <v>0</v>
      </c>
      <c r="I85">
        <f t="shared" si="8"/>
        <v>1</v>
      </c>
      <c r="J85">
        <f t="shared" si="9"/>
        <v>4.0611E-4</v>
      </c>
      <c r="M85">
        <v>83</v>
      </c>
      <c r="N85">
        <f>'Life table'!C393</f>
        <v>5.7831880000000002E-2</v>
      </c>
      <c r="O85">
        <f>'Life table'!I393</f>
        <v>3.5487459999999998E-2</v>
      </c>
    </row>
    <row r="86" spans="4:15">
      <c r="D86">
        <f t="shared" ca="1" si="5"/>
        <v>51.580580028587605</v>
      </c>
      <c r="E86">
        <f t="shared" ca="1" si="6"/>
        <v>1</v>
      </c>
      <c r="F86" s="84">
        <f t="shared" si="7"/>
        <v>37</v>
      </c>
      <c r="G86">
        <v>37</v>
      </c>
      <c r="H86">
        <v>1</v>
      </c>
      <c r="I86">
        <f t="shared" si="8"/>
        <v>1</v>
      </c>
      <c r="J86">
        <f t="shared" si="9"/>
        <v>4.1611000000000003E-4</v>
      </c>
      <c r="M86">
        <v>84</v>
      </c>
      <c r="N86">
        <f>'Life table'!C394</f>
        <v>6.3134499999999996E-2</v>
      </c>
      <c r="O86">
        <f>'Life table'!I394</f>
        <v>3.9859650000000003E-2</v>
      </c>
    </row>
    <row r="87" spans="4:15">
      <c r="D87">
        <f t="shared" ca="1" si="5"/>
        <v>52.592870261039721</v>
      </c>
      <c r="E87">
        <f t="shared" ca="1" si="6"/>
        <v>0</v>
      </c>
      <c r="F87" s="84">
        <f t="shared" si="7"/>
        <v>65</v>
      </c>
      <c r="G87">
        <v>65</v>
      </c>
      <c r="H87">
        <v>1</v>
      </c>
      <c r="I87">
        <f t="shared" si="8"/>
        <v>1</v>
      </c>
      <c r="J87">
        <f t="shared" si="9"/>
        <v>4.3744200000000004E-3</v>
      </c>
      <c r="M87">
        <v>85</v>
      </c>
      <c r="N87">
        <f>'Life table'!C395</f>
        <v>6.890607E-2</v>
      </c>
      <c r="O87">
        <f>'Life table'!I395</f>
        <v>4.4736579999999998E-2</v>
      </c>
    </row>
    <row r="88" spans="4:15">
      <c r="D88">
        <f t="shared" ca="1" si="5"/>
        <v>73.689291416436703</v>
      </c>
      <c r="E88">
        <f t="shared" ca="1" si="6"/>
        <v>1</v>
      </c>
      <c r="F88" s="84">
        <f t="shared" si="7"/>
        <v>57</v>
      </c>
      <c r="G88">
        <v>57</v>
      </c>
      <c r="H88">
        <v>1</v>
      </c>
      <c r="I88">
        <f t="shared" si="8"/>
        <v>1</v>
      </c>
      <c r="J88">
        <f t="shared" si="9"/>
        <v>2.4432899999999999E-3</v>
      </c>
      <c r="M88">
        <v>86</v>
      </c>
      <c r="N88">
        <f>'Life table'!C396</f>
        <v>7.5184769999999998E-2</v>
      </c>
      <c r="O88">
        <f>'Life table'!I396</f>
        <v>5.0170689999999997E-2</v>
      </c>
    </row>
    <row r="89" spans="4:15">
      <c r="D89">
        <f t="shared" ca="1" si="5"/>
        <v>33.271489474054945</v>
      </c>
      <c r="E89">
        <f t="shared" ca="1" si="6"/>
        <v>1</v>
      </c>
      <c r="F89" s="84">
        <f t="shared" si="7"/>
        <v>54</v>
      </c>
      <c r="G89">
        <v>54</v>
      </c>
      <c r="H89">
        <v>1</v>
      </c>
      <c r="I89">
        <f t="shared" si="8"/>
        <v>1</v>
      </c>
      <c r="J89">
        <f t="shared" si="9"/>
        <v>1.9186400000000001E-3</v>
      </c>
      <c r="M89">
        <v>87</v>
      </c>
      <c r="N89">
        <f>'Life table'!C397</f>
        <v>8.2011290000000001E-2</v>
      </c>
      <c r="O89">
        <f>'Life table'!I397</f>
        <v>5.6218829999999997E-2</v>
      </c>
    </row>
    <row r="90" spans="4:15">
      <c r="D90">
        <f t="shared" ca="1" si="5"/>
        <v>53.885278074083217</v>
      </c>
      <c r="E90">
        <f t="shared" ca="1" si="6"/>
        <v>1</v>
      </c>
      <c r="F90" s="84">
        <f t="shared" si="7"/>
        <v>31</v>
      </c>
      <c r="G90">
        <v>31</v>
      </c>
      <c r="H90">
        <v>1</v>
      </c>
      <c r="I90">
        <f t="shared" si="8"/>
        <v>1</v>
      </c>
      <c r="J90">
        <f t="shared" si="9"/>
        <v>3.1021E-4</v>
      </c>
      <c r="M90">
        <v>88</v>
      </c>
      <c r="N90">
        <f>'Life table'!C398</f>
        <v>8.9428839999999996E-2</v>
      </c>
      <c r="O90">
        <f>'Life table'!I398</f>
        <v>6.2942330000000005E-2</v>
      </c>
    </row>
    <row r="91" spans="4:15">
      <c r="D91">
        <f t="shared" ca="1" si="5"/>
        <v>26.396835924483923</v>
      </c>
      <c r="E91">
        <f t="shared" ca="1" si="6"/>
        <v>1</v>
      </c>
      <c r="F91" s="84">
        <f t="shared" si="7"/>
        <v>45</v>
      </c>
      <c r="G91">
        <v>45</v>
      </c>
      <c r="H91">
        <v>1</v>
      </c>
      <c r="I91">
        <f t="shared" si="8"/>
        <v>1</v>
      </c>
      <c r="J91">
        <f t="shared" si="9"/>
        <v>7.9022999999999995E-4</v>
      </c>
      <c r="M91">
        <v>89</v>
      </c>
      <c r="N91">
        <f>'Life table'!C399</f>
        <v>9.7483180000000003E-2</v>
      </c>
      <c r="O91">
        <f>'Life table'!I399</f>
        <v>7.0407129999999998E-2</v>
      </c>
    </row>
    <row r="92" spans="4:15">
      <c r="D92">
        <f t="shared" ca="1" si="5"/>
        <v>19.947679774433119</v>
      </c>
      <c r="E92">
        <f t="shared" ca="1" si="6"/>
        <v>1</v>
      </c>
      <c r="F92" s="84">
        <f t="shared" si="7"/>
        <v>37</v>
      </c>
      <c r="G92">
        <v>37</v>
      </c>
      <c r="H92">
        <v>0</v>
      </c>
      <c r="I92">
        <f t="shared" si="8"/>
        <v>1</v>
      </c>
      <c r="J92">
        <f t="shared" si="9"/>
        <v>8.3212E-4</v>
      </c>
      <c r="M92">
        <v>90</v>
      </c>
      <c r="N92">
        <f>'Life table'!C400</f>
        <v>0.10622259000000001</v>
      </c>
      <c r="O92">
        <f>'Life table'!I400</f>
        <v>7.8683820000000002E-2</v>
      </c>
    </row>
    <row r="93" spans="4:15">
      <c r="D93">
        <f t="shared" ca="1" si="5"/>
        <v>56.229891287590803</v>
      </c>
      <c r="E93">
        <f t="shared" ca="1" si="6"/>
        <v>1</v>
      </c>
      <c r="F93" s="84">
        <f t="shared" si="7"/>
        <v>52</v>
      </c>
      <c r="G93">
        <v>52</v>
      </c>
      <c r="H93">
        <v>1</v>
      </c>
      <c r="I93">
        <f t="shared" si="8"/>
        <v>1</v>
      </c>
      <c r="J93">
        <f t="shared" si="9"/>
        <v>1.60396E-3</v>
      </c>
      <c r="M93">
        <v>91</v>
      </c>
      <c r="N93">
        <f>'Life table'!C401</f>
        <v>0.11569784</v>
      </c>
      <c r="O93">
        <f>'Life table'!I401</f>
        <v>8.7847549999999996E-2</v>
      </c>
    </row>
    <row r="94" spans="4:15">
      <c r="D94">
        <f t="shared" ca="1" si="5"/>
        <v>54.043377113369957</v>
      </c>
      <c r="E94">
        <f t="shared" ca="1" si="6"/>
        <v>0</v>
      </c>
      <c r="F94" s="84">
        <f t="shared" si="7"/>
        <v>21</v>
      </c>
      <c r="G94">
        <v>21</v>
      </c>
      <c r="H94">
        <v>0</v>
      </c>
      <c r="I94">
        <f t="shared" si="8"/>
        <v>1</v>
      </c>
      <c r="J94">
        <f t="shared" si="9"/>
        <v>3.0009999999999998E-4</v>
      </c>
      <c r="M94">
        <v>92</v>
      </c>
      <c r="N94">
        <f>'Life table'!C402</f>
        <v>0.12596209</v>
      </c>
      <c r="O94">
        <f>'Life table'!I402</f>
        <v>9.7977889999999998E-2</v>
      </c>
    </row>
    <row r="95" spans="4:15">
      <c r="D95">
        <f t="shared" ca="1" si="5"/>
        <v>33.188410050974909</v>
      </c>
      <c r="E95">
        <f t="shared" ca="1" si="6"/>
        <v>0</v>
      </c>
      <c r="F95" s="84">
        <f t="shared" si="7"/>
        <v>47</v>
      </c>
      <c r="G95">
        <v>47</v>
      </c>
      <c r="H95">
        <v>0</v>
      </c>
      <c r="I95">
        <f t="shared" si="8"/>
        <v>1</v>
      </c>
      <c r="J95">
        <f t="shared" si="9"/>
        <v>2.2148200000000002E-3</v>
      </c>
      <c r="M95">
        <v>93</v>
      </c>
      <c r="N95">
        <f>'Life table'!C403</f>
        <v>0.13707069999999999</v>
      </c>
      <c r="O95">
        <f>'Life table'!I403</f>
        <v>0.10915859999999999</v>
      </c>
    </row>
    <row r="96" spans="4:15">
      <c r="D96">
        <f t="shared" ca="1" si="5"/>
        <v>74.594265316208634</v>
      </c>
      <c r="E96">
        <f t="shared" ca="1" si="6"/>
        <v>1</v>
      </c>
      <c r="F96" s="84">
        <f t="shared" si="7"/>
        <v>52</v>
      </c>
      <c r="G96">
        <v>52</v>
      </c>
      <c r="H96">
        <v>0</v>
      </c>
      <c r="I96">
        <f t="shared" si="8"/>
        <v>1</v>
      </c>
      <c r="J96">
        <f t="shared" si="9"/>
        <v>3.3874700000000001E-3</v>
      </c>
      <c r="M96">
        <v>94</v>
      </c>
      <c r="N96">
        <f>'Life table'!C404</f>
        <v>0.14908104999999999</v>
      </c>
      <c r="O96">
        <f>'Life table'!I404</f>
        <v>0.12147715000000001</v>
      </c>
    </row>
    <row r="97" spans="4:15">
      <c r="D97">
        <f t="shared" ca="1" si="5"/>
        <v>40.570586671045994</v>
      </c>
      <c r="E97">
        <f t="shared" ca="1" si="6"/>
        <v>1</v>
      </c>
      <c r="F97" s="84">
        <f t="shared" si="7"/>
        <v>38</v>
      </c>
      <c r="G97">
        <v>38</v>
      </c>
      <c r="H97">
        <v>1</v>
      </c>
      <c r="I97">
        <f t="shared" si="8"/>
        <v>1</v>
      </c>
      <c r="J97">
        <f t="shared" si="9"/>
        <v>4.4977E-4</v>
      </c>
      <c r="M97">
        <v>95</v>
      </c>
      <c r="N97">
        <f>'Life table'!C405</f>
        <v>0.16205222</v>
      </c>
      <c r="O97">
        <f>'Life table'!I405</f>
        <v>0.13502415000000001</v>
      </c>
    </row>
    <row r="98" spans="4:15">
      <c r="D98">
        <f t="shared" ca="1" si="5"/>
        <v>54.8664271840236</v>
      </c>
      <c r="E98">
        <f t="shared" ca="1" si="6"/>
        <v>1</v>
      </c>
      <c r="F98" s="84">
        <f t="shared" si="7"/>
        <v>45</v>
      </c>
      <c r="G98">
        <v>45</v>
      </c>
      <c r="H98">
        <v>0</v>
      </c>
      <c r="I98">
        <f t="shared" si="8"/>
        <v>1</v>
      </c>
      <c r="J98">
        <f t="shared" si="9"/>
        <v>1.7798099999999999E-3</v>
      </c>
      <c r="M98">
        <v>96</v>
      </c>
      <c r="N98">
        <f>'Life table'!C406</f>
        <v>0.17604463000000001</v>
      </c>
      <c r="O98">
        <f>'Life table'!I406</f>
        <v>0.14989259999999999</v>
      </c>
    </row>
    <row r="99" spans="4:15">
      <c r="D99">
        <f t="shared" ca="1" si="5"/>
        <v>48.822264700939513</v>
      </c>
      <c r="E99">
        <f t="shared" ca="1" si="6"/>
        <v>0</v>
      </c>
      <c r="F99" s="84">
        <f t="shared" si="7"/>
        <v>70</v>
      </c>
      <c r="G99">
        <v>70</v>
      </c>
      <c r="H99">
        <v>1</v>
      </c>
      <c r="I99">
        <f t="shared" si="8"/>
        <v>1</v>
      </c>
      <c r="J99">
        <f t="shared" si="9"/>
        <v>6.7203999999999996E-3</v>
      </c>
      <c r="M99">
        <v>97</v>
      </c>
      <c r="N99">
        <f>'Life table'!C407</f>
        <v>0.19111959000000001</v>
      </c>
      <c r="O99">
        <f>'Life table'!I407</f>
        <v>0.16617688999999999</v>
      </c>
    </row>
    <row r="100" spans="4:15">
      <c r="D100">
        <f t="shared" ca="1" si="5"/>
        <v>47.423280759893089</v>
      </c>
      <c r="E100">
        <f t="shared" ca="1" si="6"/>
        <v>1</v>
      </c>
      <c r="F100" s="84">
        <f t="shared" si="7"/>
        <v>37</v>
      </c>
      <c r="G100">
        <v>37</v>
      </c>
      <c r="H100">
        <v>1</v>
      </c>
      <c r="I100">
        <f t="shared" si="8"/>
        <v>1</v>
      </c>
      <c r="J100">
        <f t="shared" si="9"/>
        <v>4.1611000000000003E-4</v>
      </c>
      <c r="M100">
        <v>98</v>
      </c>
      <c r="N100">
        <f>'Life table'!C408</f>
        <v>0.20733869999999999</v>
      </c>
      <c r="O100">
        <f>'Life table'!I408</f>
        <v>0.18397156000000001</v>
      </c>
    </row>
    <row r="101" spans="4:15">
      <c r="D101">
        <f t="shared" ca="1" si="5"/>
        <v>26.660754264798001</v>
      </c>
      <c r="E101">
        <f t="shared" ca="1" si="6"/>
        <v>1</v>
      </c>
      <c r="F101" s="84">
        <f t="shared" si="7"/>
        <v>59</v>
      </c>
      <c r="G101">
        <v>59</v>
      </c>
      <c r="H101">
        <v>0</v>
      </c>
      <c r="I101">
        <f t="shared" si="8"/>
        <v>1</v>
      </c>
      <c r="J101">
        <f t="shared" si="9"/>
        <v>5.67755E-3</v>
      </c>
      <c r="M101">
        <v>99</v>
      </c>
      <c r="N101">
        <f>'Life table'!C409</f>
        <v>0.2247632</v>
      </c>
      <c r="O101">
        <f>'Life table'!I409</f>
        <v>0.20336979999999999</v>
      </c>
    </row>
    <row r="102" spans="4:15">
      <c r="D102">
        <f t="shared" ca="1" si="5"/>
        <v>37.723693649177626</v>
      </c>
      <c r="E102">
        <f t="shared" ca="1" si="6"/>
        <v>0</v>
      </c>
      <c r="F102" s="84">
        <f t="shared" si="7"/>
        <v>31</v>
      </c>
      <c r="G102">
        <v>31</v>
      </c>
      <c r="H102">
        <v>1</v>
      </c>
      <c r="I102">
        <f t="shared" si="8"/>
        <v>1</v>
      </c>
      <c r="J102">
        <f t="shared" si="9"/>
        <v>3.1021E-4</v>
      </c>
      <c r="M102">
        <v>100</v>
      </c>
      <c r="N102">
        <f>'Life table'!C410</f>
        <v>1</v>
      </c>
      <c r="O102">
        <f>'Life table'!I410</f>
        <v>1</v>
      </c>
    </row>
    <row r="103" spans="4:15">
      <c r="D103">
        <f t="shared" ca="1" si="5"/>
        <v>28.333359493906556</v>
      </c>
      <c r="E103">
        <f t="shared" ca="1" si="6"/>
        <v>1</v>
      </c>
      <c r="F103" s="84">
        <f t="shared" si="7"/>
        <v>65</v>
      </c>
      <c r="G103">
        <v>65</v>
      </c>
      <c r="H103">
        <v>1</v>
      </c>
      <c r="I103">
        <f t="shared" si="8"/>
        <v>1</v>
      </c>
      <c r="J103">
        <f t="shared" si="9"/>
        <v>4.3744200000000004E-3</v>
      </c>
    </row>
    <row r="104" spans="4:15">
      <c r="D104">
        <f t="shared" ca="1" si="5"/>
        <v>77.754806866127652</v>
      </c>
      <c r="E104">
        <f t="shared" ca="1" si="6"/>
        <v>1</v>
      </c>
      <c r="F104" s="84">
        <f t="shared" si="7"/>
        <v>49</v>
      </c>
      <c r="G104">
        <v>49</v>
      </c>
      <c r="H104">
        <v>0</v>
      </c>
      <c r="I104">
        <f t="shared" si="8"/>
        <v>1</v>
      </c>
      <c r="J104">
        <f t="shared" si="9"/>
        <v>2.6868700000000001E-3</v>
      </c>
    </row>
    <row r="105" spans="4:15">
      <c r="D105">
        <f t="shared" ca="1" si="5"/>
        <v>31.674668394722787</v>
      </c>
      <c r="E105">
        <f t="shared" ca="1" si="6"/>
        <v>0</v>
      </c>
      <c r="F105" s="84">
        <f t="shared" si="7"/>
        <v>32</v>
      </c>
      <c r="G105">
        <v>32</v>
      </c>
      <c r="H105">
        <v>1</v>
      </c>
      <c r="I105">
        <f t="shared" si="8"/>
        <v>1</v>
      </c>
      <c r="J105">
        <f t="shared" si="9"/>
        <v>3.1137E-4</v>
      </c>
    </row>
    <row r="106" spans="4:15">
      <c r="D106">
        <f t="shared" ca="1" si="5"/>
        <v>43.899505234865757</v>
      </c>
      <c r="E106">
        <f t="shared" ca="1" si="6"/>
        <v>1</v>
      </c>
      <c r="F106" s="84">
        <f t="shared" si="7"/>
        <v>48</v>
      </c>
      <c r="G106">
        <v>48</v>
      </c>
      <c r="H106">
        <v>0</v>
      </c>
      <c r="I106">
        <f t="shared" si="8"/>
        <v>1</v>
      </c>
      <c r="J106">
        <f t="shared" si="9"/>
        <v>2.4474599999999998E-3</v>
      </c>
    </row>
    <row r="107" spans="4:15">
      <c r="D107">
        <f t="shared" ca="1" si="5"/>
        <v>73.333999040400954</v>
      </c>
      <c r="E107">
        <f t="shared" ca="1" si="6"/>
        <v>1</v>
      </c>
      <c r="F107" s="84">
        <f t="shared" si="7"/>
        <v>46</v>
      </c>
      <c r="G107">
        <v>46</v>
      </c>
      <c r="H107">
        <v>1</v>
      </c>
      <c r="I107">
        <f t="shared" si="8"/>
        <v>1</v>
      </c>
      <c r="J107">
        <f t="shared" si="9"/>
        <v>8.7060000000000002E-4</v>
      </c>
    </row>
    <row r="108" spans="4:15">
      <c r="D108">
        <f t="shared" ca="1" si="5"/>
        <v>47.684229031835009</v>
      </c>
      <c r="E108">
        <f t="shared" ca="1" si="6"/>
        <v>1</v>
      </c>
      <c r="F108" s="84">
        <f t="shared" si="7"/>
        <v>65</v>
      </c>
      <c r="G108">
        <v>65</v>
      </c>
      <c r="H108">
        <v>1</v>
      </c>
      <c r="I108">
        <f t="shared" si="8"/>
        <v>1</v>
      </c>
      <c r="J108">
        <f t="shared" si="9"/>
        <v>4.3744200000000004E-3</v>
      </c>
    </row>
    <row r="109" spans="4:15">
      <c r="D109">
        <f t="shared" ca="1" si="5"/>
        <v>57.481490649169579</v>
      </c>
      <c r="E109">
        <f t="shared" ca="1" si="6"/>
        <v>1</v>
      </c>
      <c r="F109" s="84">
        <f t="shared" si="7"/>
        <v>47</v>
      </c>
      <c r="G109">
        <v>47</v>
      </c>
      <c r="H109">
        <v>0</v>
      </c>
      <c r="I109">
        <f t="shared" si="8"/>
        <v>1</v>
      </c>
      <c r="J109">
        <f t="shared" si="9"/>
        <v>2.2148200000000002E-3</v>
      </c>
    </row>
    <row r="110" spans="4:15">
      <c r="D110">
        <f t="shared" ca="1" si="5"/>
        <v>39.968791537947425</v>
      </c>
      <c r="E110">
        <f t="shared" ca="1" si="6"/>
        <v>0</v>
      </c>
      <c r="F110" s="84">
        <f t="shared" si="7"/>
        <v>64</v>
      </c>
      <c r="G110">
        <v>64</v>
      </c>
      <c r="H110">
        <v>1</v>
      </c>
      <c r="I110">
        <f t="shared" si="8"/>
        <v>1</v>
      </c>
      <c r="J110">
        <f t="shared" si="9"/>
        <v>4.06529E-3</v>
      </c>
    </row>
    <row r="111" spans="4:15">
      <c r="D111">
        <f t="shared" ca="1" si="5"/>
        <v>56.788636062673532</v>
      </c>
      <c r="E111">
        <f t="shared" ca="1" si="6"/>
        <v>1</v>
      </c>
      <c r="F111" s="84">
        <f t="shared" si="7"/>
        <v>29</v>
      </c>
      <c r="G111">
        <v>29</v>
      </c>
      <c r="H111">
        <v>1</v>
      </c>
      <c r="I111">
        <f t="shared" si="8"/>
        <v>1</v>
      </c>
      <c r="J111">
        <f t="shared" si="9"/>
        <v>3.1763000000000001E-4</v>
      </c>
    </row>
    <row r="112" spans="4:15">
      <c r="D112">
        <f t="shared" ca="1" si="5"/>
        <v>62.061899613868903</v>
      </c>
      <c r="E112">
        <f t="shared" ca="1" si="6"/>
        <v>1</v>
      </c>
      <c r="F112" s="84">
        <f t="shared" si="7"/>
        <v>54</v>
      </c>
      <c r="G112">
        <v>54</v>
      </c>
      <c r="H112">
        <v>1</v>
      </c>
      <c r="I112">
        <f t="shared" si="8"/>
        <v>1</v>
      </c>
      <c r="J112">
        <f t="shared" si="9"/>
        <v>1.9186400000000001E-3</v>
      </c>
    </row>
    <row r="113" spans="4:10">
      <c r="D113">
        <f t="shared" ca="1" si="5"/>
        <v>94.341707753065862</v>
      </c>
      <c r="E113">
        <f t="shared" ca="1" si="6"/>
        <v>1</v>
      </c>
      <c r="F113" s="84">
        <f t="shared" si="7"/>
        <v>9</v>
      </c>
      <c r="G113">
        <v>9</v>
      </c>
      <c r="H113">
        <v>1</v>
      </c>
      <c r="I113">
        <f t="shared" si="8"/>
        <v>0</v>
      </c>
      <c r="J113">
        <f t="shared" si="9"/>
        <v>1.0249E-4</v>
      </c>
    </row>
    <row r="114" spans="4:10">
      <c r="D114">
        <f t="shared" ca="1" si="5"/>
        <v>37.754312109106245</v>
      </c>
      <c r="E114">
        <f t="shared" ca="1" si="6"/>
        <v>1</v>
      </c>
      <c r="F114" s="84">
        <f t="shared" si="7"/>
        <v>38</v>
      </c>
      <c r="G114">
        <v>38</v>
      </c>
      <c r="H114">
        <v>0</v>
      </c>
      <c r="I114">
        <f t="shared" si="8"/>
        <v>1</v>
      </c>
      <c r="J114">
        <f t="shared" si="9"/>
        <v>8.8648999999999998E-4</v>
      </c>
    </row>
    <row r="115" spans="4:10">
      <c r="D115">
        <f t="shared" ca="1" si="5"/>
        <v>44.111044913104813</v>
      </c>
      <c r="E115">
        <f t="shared" ca="1" si="6"/>
        <v>1</v>
      </c>
      <c r="F115" s="84">
        <f t="shared" si="7"/>
        <v>70</v>
      </c>
      <c r="G115">
        <v>70</v>
      </c>
      <c r="H115">
        <v>1</v>
      </c>
      <c r="I115">
        <f t="shared" si="8"/>
        <v>1</v>
      </c>
      <c r="J115">
        <f t="shared" si="9"/>
        <v>6.7203999999999996E-3</v>
      </c>
    </row>
    <row r="116" spans="4:10">
      <c r="D116">
        <f t="shared" ca="1" si="5"/>
        <v>39.996102947588071</v>
      </c>
      <c r="E116">
        <f t="shared" ca="1" si="6"/>
        <v>0</v>
      </c>
      <c r="F116" s="84">
        <f t="shared" si="7"/>
        <v>79</v>
      </c>
      <c r="G116">
        <v>79</v>
      </c>
      <c r="H116">
        <v>0</v>
      </c>
      <c r="I116">
        <f t="shared" si="8"/>
        <v>1</v>
      </c>
      <c r="J116">
        <f t="shared" si="9"/>
        <v>3.9169790000000003E-2</v>
      </c>
    </row>
    <row r="117" spans="4:10">
      <c r="D117">
        <f t="shared" ca="1" si="5"/>
        <v>72.690963049463832</v>
      </c>
      <c r="E117">
        <f t="shared" ca="1" si="6"/>
        <v>1</v>
      </c>
      <c r="F117" s="84">
        <f t="shared" si="7"/>
        <v>24</v>
      </c>
      <c r="G117">
        <v>24</v>
      </c>
      <c r="H117">
        <v>1</v>
      </c>
      <c r="I117">
        <f t="shared" si="8"/>
        <v>1</v>
      </c>
      <c r="J117">
        <f t="shared" si="9"/>
        <v>2.5754E-4</v>
      </c>
    </row>
    <row r="118" spans="4:10">
      <c r="D118">
        <f t="shared" ca="1" si="5"/>
        <v>33.178466559759741</v>
      </c>
      <c r="E118">
        <f t="shared" ca="1" si="6"/>
        <v>1</v>
      </c>
      <c r="F118" s="84">
        <f t="shared" si="7"/>
        <v>3</v>
      </c>
      <c r="G118">
        <v>3</v>
      </c>
      <c r="H118">
        <v>1</v>
      </c>
      <c r="I118">
        <f t="shared" si="8"/>
        <v>0</v>
      </c>
      <c r="J118">
        <f t="shared" si="9"/>
        <v>1.0444E-4</v>
      </c>
    </row>
    <row r="119" spans="4:10">
      <c r="D119">
        <f t="shared" ca="1" si="5"/>
        <v>36.570303315768946</v>
      </c>
      <c r="E119">
        <f t="shared" ca="1" si="6"/>
        <v>1</v>
      </c>
      <c r="F119" s="84">
        <f t="shared" si="7"/>
        <v>7</v>
      </c>
      <c r="G119">
        <v>7</v>
      </c>
      <c r="H119">
        <v>1</v>
      </c>
      <c r="I119">
        <f t="shared" si="8"/>
        <v>0</v>
      </c>
      <c r="J119">
        <f t="shared" si="9"/>
        <v>9.2239999999999998E-5</v>
      </c>
    </row>
    <row r="120" spans="4:10">
      <c r="D120">
        <f t="shared" ca="1" si="5"/>
        <v>17.969063316262172</v>
      </c>
      <c r="E120">
        <f t="shared" ca="1" si="6"/>
        <v>1</v>
      </c>
      <c r="F120" s="84">
        <f t="shared" si="7"/>
        <v>66</v>
      </c>
      <c r="G120">
        <v>66</v>
      </c>
      <c r="H120">
        <v>1</v>
      </c>
      <c r="I120">
        <f t="shared" si="8"/>
        <v>1</v>
      </c>
      <c r="J120">
        <f t="shared" si="9"/>
        <v>4.7119800000000002E-3</v>
      </c>
    </row>
    <row r="121" spans="4:10">
      <c r="D121">
        <f t="shared" ca="1" si="5"/>
        <v>63.386646465866832</v>
      </c>
      <c r="E121">
        <f t="shared" ca="1" si="6"/>
        <v>1</v>
      </c>
      <c r="F121" s="84">
        <f t="shared" si="7"/>
        <v>71</v>
      </c>
      <c r="G121">
        <v>71</v>
      </c>
      <c r="H121">
        <v>0</v>
      </c>
      <c r="I121">
        <f t="shared" si="8"/>
        <v>1</v>
      </c>
      <c r="J121">
        <f t="shared" si="9"/>
        <v>1.5782210000000001E-2</v>
      </c>
    </row>
    <row r="122" spans="4:10">
      <c r="D122">
        <f t="shared" ca="1" si="5"/>
        <v>33.702022965704884</v>
      </c>
      <c r="E122">
        <f t="shared" ca="1" si="6"/>
        <v>1</v>
      </c>
      <c r="F122" s="84">
        <f t="shared" si="7"/>
        <v>72</v>
      </c>
      <c r="G122">
        <v>72</v>
      </c>
      <c r="H122">
        <v>1</v>
      </c>
      <c r="I122">
        <f t="shared" si="8"/>
        <v>1</v>
      </c>
      <c r="J122">
        <f t="shared" si="9"/>
        <v>8.34792E-3</v>
      </c>
    </row>
    <row r="123" spans="4:10">
      <c r="D123">
        <f t="shared" ca="1" si="5"/>
        <v>33.451622683607503</v>
      </c>
      <c r="E123">
        <f t="shared" ca="1" si="6"/>
        <v>1</v>
      </c>
      <c r="F123" s="84">
        <f t="shared" si="7"/>
        <v>32</v>
      </c>
      <c r="G123">
        <v>32</v>
      </c>
      <c r="H123">
        <v>1</v>
      </c>
      <c r="I123">
        <f t="shared" si="8"/>
        <v>1</v>
      </c>
      <c r="J123">
        <f t="shared" si="9"/>
        <v>3.1137E-4</v>
      </c>
    </row>
    <row r="124" spans="4:10">
      <c r="D124">
        <f t="shared" ca="1" si="5"/>
        <v>30.682712396604735</v>
      </c>
      <c r="E124">
        <f t="shared" ca="1" si="6"/>
        <v>1</v>
      </c>
      <c r="F124" s="84">
        <f t="shared" si="7"/>
        <v>56</v>
      </c>
      <c r="G124">
        <v>56</v>
      </c>
      <c r="H124">
        <v>0</v>
      </c>
      <c r="I124">
        <f t="shared" si="8"/>
        <v>1</v>
      </c>
      <c r="J124">
        <f t="shared" si="9"/>
        <v>4.4530899999999998E-3</v>
      </c>
    </row>
    <row r="125" spans="4:10">
      <c r="D125">
        <f t="shared" ca="1" si="5"/>
        <v>43.785651164082836</v>
      </c>
      <c r="E125">
        <f t="shared" ca="1" si="6"/>
        <v>1</v>
      </c>
      <c r="F125" s="84">
        <f t="shared" si="7"/>
        <v>2</v>
      </c>
      <c r="G125">
        <v>2</v>
      </c>
      <c r="H125">
        <v>1</v>
      </c>
      <c r="I125">
        <f t="shared" si="8"/>
        <v>0</v>
      </c>
      <c r="J125">
        <f t="shared" si="9"/>
        <v>1.1612000000000001E-4</v>
      </c>
    </row>
    <row r="126" spans="4:10">
      <c r="D126">
        <f t="shared" ca="1" si="5"/>
        <v>47.397145834384972</v>
      </c>
      <c r="E126">
        <f t="shared" ca="1" si="6"/>
        <v>1</v>
      </c>
      <c r="F126" s="84">
        <f t="shared" si="7"/>
        <v>28</v>
      </c>
      <c r="G126">
        <v>28</v>
      </c>
      <c r="H126">
        <v>1</v>
      </c>
      <c r="I126">
        <f t="shared" si="8"/>
        <v>1</v>
      </c>
      <c r="J126">
        <f t="shared" si="9"/>
        <v>3.1845000000000002E-4</v>
      </c>
    </row>
    <row r="127" spans="4:10">
      <c r="D127">
        <f t="shared" ca="1" si="5"/>
        <v>42.92501929514323</v>
      </c>
      <c r="E127">
        <f t="shared" ca="1" si="6"/>
        <v>1</v>
      </c>
      <c r="F127" s="84">
        <f t="shared" si="7"/>
        <v>72</v>
      </c>
      <c r="G127">
        <v>72</v>
      </c>
      <c r="H127">
        <v>1</v>
      </c>
      <c r="I127">
        <f t="shared" si="8"/>
        <v>1</v>
      </c>
      <c r="J127">
        <f t="shared" si="9"/>
        <v>8.34792E-3</v>
      </c>
    </row>
    <row r="128" spans="4:10">
      <c r="D128">
        <f t="shared" ca="1" si="5"/>
        <v>70.355805960932543</v>
      </c>
      <c r="E128">
        <f t="shared" ca="1" si="6"/>
        <v>0</v>
      </c>
      <c r="F128" s="84">
        <f t="shared" si="7"/>
        <v>42</v>
      </c>
      <c r="G128">
        <v>42</v>
      </c>
      <c r="H128">
        <v>0</v>
      </c>
      <c r="I128">
        <f t="shared" si="8"/>
        <v>1</v>
      </c>
      <c r="J128">
        <f t="shared" si="9"/>
        <v>1.2642700000000001E-3</v>
      </c>
    </row>
    <row r="129" spans="4:10">
      <c r="D129">
        <f t="shared" ca="1" si="5"/>
        <v>48.730622312275344</v>
      </c>
      <c r="E129">
        <f t="shared" ca="1" si="6"/>
        <v>1</v>
      </c>
      <c r="F129" s="84">
        <f t="shared" si="7"/>
        <v>28</v>
      </c>
      <c r="G129">
        <v>28</v>
      </c>
      <c r="H129">
        <v>1</v>
      </c>
      <c r="I129">
        <f t="shared" si="8"/>
        <v>1</v>
      </c>
      <c r="J129">
        <f t="shared" si="9"/>
        <v>3.1845000000000002E-4</v>
      </c>
    </row>
    <row r="130" spans="4:10">
      <c r="D130">
        <f t="shared" ref="D130:D193" ca="1" si="10">NORMINV(RAND(), mean_age, sd_age)</f>
        <v>32.651732606309622</v>
      </c>
      <c r="E130">
        <f t="shared" ref="E130:E193" ca="1" si="11">_xlfn.BINOM.INV(1, prop_female, RAND())</f>
        <v>1</v>
      </c>
      <c r="F130" s="84">
        <f t="shared" ref="F130:F193" si="12">ROUND(G130,0)</f>
        <v>47</v>
      </c>
      <c r="G130">
        <v>47</v>
      </c>
      <c r="H130">
        <v>1</v>
      </c>
      <c r="I130">
        <f t="shared" ref="I130:I193" si="13">IF(G130&lt;18, 0, 1)</f>
        <v>1</v>
      </c>
      <c r="J130">
        <f t="shared" ref="J130:J193" si="14">IF(H130=0,VLOOKUP(G130,$M$2:$O$102,2,TRUE),VLOOKUP(G130,$M$2:$O$102,3,TRUE))</f>
        <v>9.6336999999999996E-4</v>
      </c>
    </row>
    <row r="131" spans="4:10">
      <c r="D131">
        <f t="shared" ca="1" si="10"/>
        <v>56.803910778363104</v>
      </c>
      <c r="E131">
        <f t="shared" ca="1" si="11"/>
        <v>0</v>
      </c>
      <c r="F131" s="84">
        <f t="shared" si="12"/>
        <v>5</v>
      </c>
      <c r="G131">
        <v>5</v>
      </c>
      <c r="H131">
        <v>1</v>
      </c>
      <c r="I131">
        <f t="shared" si="13"/>
        <v>0</v>
      </c>
      <c r="J131">
        <f t="shared" si="14"/>
        <v>9.1749999999999994E-5</v>
      </c>
    </row>
    <row r="132" spans="4:10">
      <c r="D132">
        <f t="shared" ca="1" si="10"/>
        <v>54.512804254811499</v>
      </c>
      <c r="E132">
        <f t="shared" ca="1" si="11"/>
        <v>1</v>
      </c>
      <c r="F132" s="84">
        <f t="shared" si="12"/>
        <v>31</v>
      </c>
      <c r="G132">
        <v>31</v>
      </c>
      <c r="H132">
        <v>1</v>
      </c>
      <c r="I132">
        <f t="shared" si="13"/>
        <v>1</v>
      </c>
      <c r="J132">
        <f t="shared" si="14"/>
        <v>3.1021E-4</v>
      </c>
    </row>
    <row r="133" spans="4:10">
      <c r="D133">
        <f t="shared" ca="1" si="10"/>
        <v>58.133436565977313</v>
      </c>
      <c r="E133">
        <f t="shared" ca="1" si="11"/>
        <v>1</v>
      </c>
      <c r="F133" s="84">
        <f t="shared" si="12"/>
        <v>14</v>
      </c>
      <c r="G133">
        <v>14</v>
      </c>
      <c r="H133">
        <v>1</v>
      </c>
      <c r="I133">
        <f t="shared" si="13"/>
        <v>0</v>
      </c>
      <c r="J133">
        <f t="shared" si="14"/>
        <v>1.3108999999999999E-4</v>
      </c>
    </row>
    <row r="134" spans="4:10">
      <c r="D134">
        <f t="shared" ca="1" si="10"/>
        <v>35.412244177509024</v>
      </c>
      <c r="E134">
        <f t="shared" ca="1" si="11"/>
        <v>1</v>
      </c>
      <c r="F134" s="84">
        <f t="shared" si="12"/>
        <v>44</v>
      </c>
      <c r="G134">
        <v>44</v>
      </c>
      <c r="H134">
        <v>1</v>
      </c>
      <c r="I134">
        <f t="shared" si="13"/>
        <v>1</v>
      </c>
      <c r="J134">
        <f t="shared" si="14"/>
        <v>7.2154999999999995E-4</v>
      </c>
    </row>
    <row r="135" spans="4:10">
      <c r="D135">
        <f t="shared" ca="1" si="10"/>
        <v>45.531008296728402</v>
      </c>
      <c r="E135">
        <f t="shared" ca="1" si="11"/>
        <v>1</v>
      </c>
      <c r="F135" s="84">
        <f t="shared" si="12"/>
        <v>20</v>
      </c>
      <c r="G135">
        <v>20</v>
      </c>
      <c r="H135">
        <v>1</v>
      </c>
      <c r="I135">
        <f t="shared" si="13"/>
        <v>1</v>
      </c>
      <c r="J135">
        <f t="shared" si="14"/>
        <v>1.6644000000000001E-4</v>
      </c>
    </row>
    <row r="136" spans="4:10">
      <c r="D136">
        <f t="shared" ca="1" si="10"/>
        <v>51.137194823755003</v>
      </c>
      <c r="E136">
        <f t="shared" ca="1" si="11"/>
        <v>1</v>
      </c>
      <c r="F136" s="84">
        <f t="shared" si="12"/>
        <v>44</v>
      </c>
      <c r="G136">
        <v>44</v>
      </c>
      <c r="H136">
        <v>0</v>
      </c>
      <c r="I136">
        <f t="shared" si="13"/>
        <v>1</v>
      </c>
      <c r="J136">
        <f t="shared" si="14"/>
        <v>1.5861E-3</v>
      </c>
    </row>
    <row r="137" spans="4:10">
      <c r="D137">
        <f t="shared" ca="1" si="10"/>
        <v>44.236495865382331</v>
      </c>
      <c r="E137">
        <f t="shared" ca="1" si="11"/>
        <v>1</v>
      </c>
      <c r="F137" s="84">
        <f t="shared" si="12"/>
        <v>75</v>
      </c>
      <c r="G137">
        <v>75</v>
      </c>
      <c r="H137">
        <v>1</v>
      </c>
      <c r="I137">
        <f t="shared" si="13"/>
        <v>1</v>
      </c>
      <c r="J137">
        <f t="shared" si="14"/>
        <v>1.2187669999999999E-2</v>
      </c>
    </row>
    <row r="138" spans="4:10">
      <c r="D138">
        <f t="shared" ca="1" si="10"/>
        <v>48.523774453550367</v>
      </c>
      <c r="E138">
        <f t="shared" ca="1" si="11"/>
        <v>1</v>
      </c>
      <c r="F138" s="84">
        <f t="shared" si="12"/>
        <v>31</v>
      </c>
      <c r="G138">
        <v>31</v>
      </c>
      <c r="H138">
        <v>0</v>
      </c>
      <c r="I138">
        <f t="shared" si="13"/>
        <v>1</v>
      </c>
      <c r="J138">
        <f t="shared" si="14"/>
        <v>5.9367000000000003E-4</v>
      </c>
    </row>
    <row r="139" spans="4:10">
      <c r="D139">
        <f t="shared" ca="1" si="10"/>
        <v>37.151475183360418</v>
      </c>
      <c r="E139">
        <f t="shared" ca="1" si="11"/>
        <v>1</v>
      </c>
      <c r="F139" s="84">
        <f t="shared" si="12"/>
        <v>19</v>
      </c>
      <c r="G139">
        <v>19</v>
      </c>
      <c r="H139">
        <v>1</v>
      </c>
      <c r="I139">
        <f t="shared" si="13"/>
        <v>1</v>
      </c>
      <c r="J139">
        <f t="shared" si="14"/>
        <v>1.5410000000000001E-4</v>
      </c>
    </row>
    <row r="140" spans="4:10">
      <c r="D140">
        <f t="shared" ca="1" si="10"/>
        <v>41.149043882929362</v>
      </c>
      <c r="E140">
        <f t="shared" ca="1" si="11"/>
        <v>0</v>
      </c>
      <c r="F140" s="84">
        <f t="shared" si="12"/>
        <v>64</v>
      </c>
      <c r="G140">
        <v>64</v>
      </c>
      <c r="H140">
        <v>1</v>
      </c>
      <c r="I140">
        <f t="shared" si="13"/>
        <v>1</v>
      </c>
      <c r="J140">
        <f t="shared" si="14"/>
        <v>4.06529E-3</v>
      </c>
    </row>
    <row r="141" spans="4:10">
      <c r="D141">
        <f t="shared" ca="1" si="10"/>
        <v>6.8763232728179347</v>
      </c>
      <c r="E141">
        <f t="shared" ca="1" si="11"/>
        <v>1</v>
      </c>
      <c r="F141" s="84">
        <f t="shared" si="12"/>
        <v>71</v>
      </c>
      <c r="G141">
        <v>71</v>
      </c>
      <c r="H141">
        <v>0</v>
      </c>
      <c r="I141">
        <f t="shared" si="13"/>
        <v>1</v>
      </c>
      <c r="J141">
        <f t="shared" si="14"/>
        <v>1.5782210000000001E-2</v>
      </c>
    </row>
    <row r="142" spans="4:10">
      <c r="D142">
        <f t="shared" ca="1" si="10"/>
        <v>51.165840545918385</v>
      </c>
      <c r="E142">
        <f t="shared" ca="1" si="11"/>
        <v>1</v>
      </c>
      <c r="F142" s="84">
        <f t="shared" si="12"/>
        <v>51</v>
      </c>
      <c r="G142">
        <v>51</v>
      </c>
      <c r="H142">
        <v>1</v>
      </c>
      <c r="I142">
        <f t="shared" si="13"/>
        <v>1</v>
      </c>
      <c r="J142">
        <f t="shared" si="14"/>
        <v>1.4570900000000001E-3</v>
      </c>
    </row>
    <row r="143" spans="4:10">
      <c r="D143">
        <f t="shared" ca="1" si="10"/>
        <v>67.098645191368774</v>
      </c>
      <c r="E143">
        <f t="shared" ca="1" si="11"/>
        <v>0</v>
      </c>
      <c r="F143" s="84">
        <f t="shared" si="12"/>
        <v>38</v>
      </c>
      <c r="G143">
        <v>38</v>
      </c>
      <c r="H143">
        <v>1</v>
      </c>
      <c r="I143">
        <f t="shared" si="13"/>
        <v>1</v>
      </c>
      <c r="J143">
        <f t="shared" si="14"/>
        <v>4.4977E-4</v>
      </c>
    </row>
    <row r="144" spans="4:10">
      <c r="D144">
        <f t="shared" ca="1" si="10"/>
        <v>36.883534930968835</v>
      </c>
      <c r="E144">
        <f t="shared" ca="1" si="11"/>
        <v>0</v>
      </c>
      <c r="F144" s="84">
        <f t="shared" si="12"/>
        <v>83</v>
      </c>
      <c r="G144">
        <v>83</v>
      </c>
      <c r="H144">
        <v>1</v>
      </c>
      <c r="I144">
        <f t="shared" si="13"/>
        <v>1</v>
      </c>
      <c r="J144">
        <f t="shared" si="14"/>
        <v>3.5487459999999998E-2</v>
      </c>
    </row>
    <row r="145" spans="4:10">
      <c r="D145">
        <f t="shared" ca="1" si="10"/>
        <v>84.291729591671981</v>
      </c>
      <c r="E145">
        <f t="shared" ca="1" si="11"/>
        <v>0</v>
      </c>
      <c r="F145" s="84">
        <f t="shared" si="12"/>
        <v>46</v>
      </c>
      <c r="G145">
        <v>46</v>
      </c>
      <c r="H145">
        <v>1</v>
      </c>
      <c r="I145">
        <f t="shared" si="13"/>
        <v>1</v>
      </c>
      <c r="J145">
        <f t="shared" si="14"/>
        <v>8.7060000000000002E-4</v>
      </c>
    </row>
    <row r="146" spans="4:10">
      <c r="D146">
        <f t="shared" ca="1" si="10"/>
        <v>50.316929092967285</v>
      </c>
      <c r="E146">
        <f t="shared" ca="1" si="11"/>
        <v>0</v>
      </c>
      <c r="F146" s="84">
        <f t="shared" si="12"/>
        <v>28</v>
      </c>
      <c r="G146">
        <v>28</v>
      </c>
      <c r="H146">
        <v>1</v>
      </c>
      <c r="I146">
        <f t="shared" si="13"/>
        <v>1</v>
      </c>
      <c r="J146">
        <f t="shared" si="14"/>
        <v>3.1845000000000002E-4</v>
      </c>
    </row>
    <row r="147" spans="4:10">
      <c r="D147">
        <f t="shared" ca="1" si="10"/>
        <v>39.787870605742093</v>
      </c>
      <c r="E147">
        <f t="shared" ca="1" si="11"/>
        <v>1</v>
      </c>
      <c r="F147" s="84">
        <f t="shared" si="12"/>
        <v>55</v>
      </c>
      <c r="G147">
        <v>55</v>
      </c>
      <c r="H147">
        <v>0</v>
      </c>
      <c r="I147">
        <f t="shared" si="13"/>
        <v>1</v>
      </c>
      <c r="J147">
        <f t="shared" si="14"/>
        <v>4.1453499999999999E-3</v>
      </c>
    </row>
    <row r="148" spans="4:10">
      <c r="D148">
        <f t="shared" ca="1" si="10"/>
        <v>59.170131944292947</v>
      </c>
      <c r="E148">
        <f t="shared" ca="1" si="11"/>
        <v>1</v>
      </c>
      <c r="F148" s="84">
        <f t="shared" si="12"/>
        <v>56</v>
      </c>
      <c r="G148">
        <v>56</v>
      </c>
      <c r="H148">
        <v>1</v>
      </c>
      <c r="I148">
        <f t="shared" si="13"/>
        <v>1</v>
      </c>
      <c r="J148">
        <f t="shared" si="14"/>
        <v>2.2598000000000002E-3</v>
      </c>
    </row>
    <row r="149" spans="4:10">
      <c r="D149">
        <f t="shared" ca="1" si="10"/>
        <v>31.691850584788813</v>
      </c>
      <c r="E149">
        <f t="shared" ca="1" si="11"/>
        <v>1</v>
      </c>
      <c r="F149" s="84">
        <f t="shared" si="12"/>
        <v>56</v>
      </c>
      <c r="G149">
        <v>56</v>
      </c>
      <c r="H149">
        <v>1</v>
      </c>
      <c r="I149">
        <f t="shared" si="13"/>
        <v>1</v>
      </c>
      <c r="J149">
        <f t="shared" si="14"/>
        <v>2.2598000000000002E-3</v>
      </c>
    </row>
    <row r="150" spans="4:10">
      <c r="D150">
        <f t="shared" ca="1" si="10"/>
        <v>43.004856166633026</v>
      </c>
      <c r="E150">
        <f t="shared" ca="1" si="11"/>
        <v>1</v>
      </c>
      <c r="F150" s="84">
        <f t="shared" si="12"/>
        <v>21</v>
      </c>
      <c r="G150">
        <v>21</v>
      </c>
      <c r="H150">
        <v>1</v>
      </c>
      <c r="I150">
        <f t="shared" si="13"/>
        <v>1</v>
      </c>
      <c r="J150">
        <f t="shared" si="14"/>
        <v>1.8384E-4</v>
      </c>
    </row>
    <row r="151" spans="4:10">
      <c r="D151">
        <f t="shared" ca="1" si="10"/>
        <v>73.250514771738764</v>
      </c>
      <c r="E151">
        <f t="shared" ca="1" si="11"/>
        <v>1</v>
      </c>
      <c r="F151" s="84">
        <f t="shared" si="12"/>
        <v>42</v>
      </c>
      <c r="G151">
        <v>42</v>
      </c>
      <c r="H151">
        <v>0</v>
      </c>
      <c r="I151">
        <f t="shared" si="13"/>
        <v>1</v>
      </c>
      <c r="J151">
        <f t="shared" si="14"/>
        <v>1.2642700000000001E-3</v>
      </c>
    </row>
    <row r="152" spans="4:10">
      <c r="D152">
        <f t="shared" ca="1" si="10"/>
        <v>50.735497383579293</v>
      </c>
      <c r="E152">
        <f t="shared" ca="1" si="11"/>
        <v>0</v>
      </c>
      <c r="F152" s="84">
        <f t="shared" si="12"/>
        <v>39</v>
      </c>
      <c r="G152">
        <v>39</v>
      </c>
      <c r="H152">
        <v>1</v>
      </c>
      <c r="I152">
        <f t="shared" si="13"/>
        <v>1</v>
      </c>
      <c r="J152">
        <f t="shared" si="14"/>
        <v>4.8622999999999998E-4</v>
      </c>
    </row>
    <row r="153" spans="4:10">
      <c r="D153">
        <f t="shared" ca="1" si="10"/>
        <v>20.295830954632102</v>
      </c>
      <c r="E153">
        <f t="shared" ca="1" si="11"/>
        <v>1</v>
      </c>
      <c r="F153" s="84">
        <f t="shared" si="12"/>
        <v>41</v>
      </c>
      <c r="G153">
        <v>41</v>
      </c>
      <c r="H153">
        <v>1</v>
      </c>
      <c r="I153">
        <f t="shared" si="13"/>
        <v>1</v>
      </c>
      <c r="J153">
        <f t="shared" si="14"/>
        <v>5.6607000000000001E-4</v>
      </c>
    </row>
    <row r="154" spans="4:10">
      <c r="D154">
        <f t="shared" ca="1" si="10"/>
        <v>73.802197273395095</v>
      </c>
      <c r="E154">
        <f t="shared" ca="1" si="11"/>
        <v>1</v>
      </c>
      <c r="F154" s="84">
        <f t="shared" si="12"/>
        <v>67</v>
      </c>
      <c r="G154">
        <v>67</v>
      </c>
      <c r="H154">
        <v>1</v>
      </c>
      <c r="I154">
        <f t="shared" si="13"/>
        <v>1</v>
      </c>
      <c r="J154">
        <f t="shared" si="14"/>
        <v>5.09392E-3</v>
      </c>
    </row>
    <row r="155" spans="4:10">
      <c r="D155">
        <f t="shared" ca="1" si="10"/>
        <v>1.1323059073387185</v>
      </c>
      <c r="E155">
        <f t="shared" ca="1" si="11"/>
        <v>1</v>
      </c>
      <c r="F155" s="84">
        <f t="shared" si="12"/>
        <v>60</v>
      </c>
      <c r="G155">
        <v>60</v>
      </c>
      <c r="H155">
        <v>0</v>
      </c>
      <c r="I155">
        <f t="shared" si="13"/>
        <v>1</v>
      </c>
      <c r="J155">
        <f t="shared" si="14"/>
        <v>6.1923100000000003E-3</v>
      </c>
    </row>
    <row r="156" spans="4:10">
      <c r="D156">
        <f t="shared" ca="1" si="10"/>
        <v>37.194700829626797</v>
      </c>
      <c r="E156">
        <f t="shared" ca="1" si="11"/>
        <v>1</v>
      </c>
      <c r="F156" s="84">
        <f t="shared" si="12"/>
        <v>32</v>
      </c>
      <c r="G156">
        <v>32</v>
      </c>
      <c r="H156">
        <v>1</v>
      </c>
      <c r="I156">
        <f t="shared" si="13"/>
        <v>1</v>
      </c>
      <c r="J156">
        <f t="shared" si="14"/>
        <v>3.1137E-4</v>
      </c>
    </row>
    <row r="157" spans="4:10">
      <c r="D157">
        <f t="shared" ca="1" si="10"/>
        <v>23.550373842822982</v>
      </c>
      <c r="E157">
        <f t="shared" ca="1" si="11"/>
        <v>0</v>
      </c>
      <c r="F157" s="84">
        <f t="shared" si="12"/>
        <v>55</v>
      </c>
      <c r="G157">
        <v>55</v>
      </c>
      <c r="H157">
        <v>1</v>
      </c>
      <c r="I157">
        <f t="shared" si="13"/>
        <v>1</v>
      </c>
      <c r="J157">
        <f t="shared" si="14"/>
        <v>2.0857200000000001E-3</v>
      </c>
    </row>
    <row r="158" spans="4:10">
      <c r="D158">
        <f t="shared" ca="1" si="10"/>
        <v>5.5205308574571603</v>
      </c>
      <c r="E158">
        <f t="shared" ca="1" si="11"/>
        <v>0</v>
      </c>
      <c r="F158" s="84">
        <f t="shared" si="12"/>
        <v>56</v>
      </c>
      <c r="G158">
        <v>56</v>
      </c>
      <c r="H158">
        <v>0</v>
      </c>
      <c r="I158">
        <f t="shared" si="13"/>
        <v>1</v>
      </c>
      <c r="J158">
        <f t="shared" si="14"/>
        <v>4.4530899999999998E-3</v>
      </c>
    </row>
    <row r="159" spans="4:10">
      <c r="D159">
        <f t="shared" ca="1" si="10"/>
        <v>31.981384726117369</v>
      </c>
      <c r="E159">
        <f t="shared" ca="1" si="11"/>
        <v>1</v>
      </c>
      <c r="F159" s="84">
        <f t="shared" si="12"/>
        <v>42</v>
      </c>
      <c r="G159">
        <v>42</v>
      </c>
      <c r="H159">
        <v>1</v>
      </c>
      <c r="I159">
        <f t="shared" si="13"/>
        <v>1</v>
      </c>
      <c r="J159">
        <f t="shared" si="14"/>
        <v>6.1160999999999995E-4</v>
      </c>
    </row>
    <row r="160" spans="4:10">
      <c r="D160">
        <f t="shared" ca="1" si="10"/>
        <v>44.947390268627728</v>
      </c>
      <c r="E160">
        <f t="shared" ca="1" si="11"/>
        <v>1</v>
      </c>
      <c r="F160" s="84">
        <f t="shared" si="12"/>
        <v>23</v>
      </c>
      <c r="G160">
        <v>23</v>
      </c>
      <c r="H160">
        <v>1</v>
      </c>
      <c r="I160">
        <f t="shared" si="13"/>
        <v>1</v>
      </c>
      <c r="J160">
        <f t="shared" si="14"/>
        <v>2.3068000000000001E-4</v>
      </c>
    </row>
    <row r="161" spans="4:10">
      <c r="D161">
        <f t="shared" ca="1" si="10"/>
        <v>34.456537144750186</v>
      </c>
      <c r="E161">
        <f t="shared" ca="1" si="11"/>
        <v>0</v>
      </c>
      <c r="F161" s="84">
        <f t="shared" si="12"/>
        <v>37</v>
      </c>
      <c r="G161">
        <v>37</v>
      </c>
      <c r="H161">
        <v>1</v>
      </c>
      <c r="I161">
        <f t="shared" si="13"/>
        <v>1</v>
      </c>
      <c r="J161">
        <f t="shared" si="14"/>
        <v>4.1611000000000003E-4</v>
      </c>
    </row>
    <row r="162" spans="4:10">
      <c r="D162">
        <f t="shared" ca="1" si="10"/>
        <v>29.674679143989767</v>
      </c>
      <c r="E162">
        <f t="shared" ca="1" si="11"/>
        <v>1</v>
      </c>
      <c r="F162" s="84">
        <f t="shared" si="12"/>
        <v>56</v>
      </c>
      <c r="G162">
        <v>56</v>
      </c>
      <c r="H162">
        <v>1</v>
      </c>
      <c r="I162">
        <f t="shared" si="13"/>
        <v>1</v>
      </c>
      <c r="J162">
        <f t="shared" si="14"/>
        <v>2.2598000000000002E-3</v>
      </c>
    </row>
    <row r="163" spans="4:10">
      <c r="D163">
        <f t="shared" ca="1" si="10"/>
        <v>40.981667319258023</v>
      </c>
      <c r="E163">
        <f t="shared" ca="1" si="11"/>
        <v>0</v>
      </c>
      <c r="F163" s="84">
        <f t="shared" si="12"/>
        <v>97</v>
      </c>
      <c r="G163">
        <v>97</v>
      </c>
      <c r="H163">
        <v>1</v>
      </c>
      <c r="I163">
        <f t="shared" si="13"/>
        <v>1</v>
      </c>
      <c r="J163">
        <f t="shared" si="14"/>
        <v>0.16617688999999999</v>
      </c>
    </row>
    <row r="164" spans="4:10">
      <c r="D164">
        <f t="shared" ca="1" si="10"/>
        <v>86.442415339820712</v>
      </c>
      <c r="E164">
        <f t="shared" ca="1" si="11"/>
        <v>1</v>
      </c>
      <c r="F164" s="84">
        <f t="shared" si="12"/>
        <v>24</v>
      </c>
      <c r="G164">
        <v>24</v>
      </c>
      <c r="H164">
        <v>1</v>
      </c>
      <c r="I164">
        <f t="shared" si="13"/>
        <v>1</v>
      </c>
      <c r="J164">
        <f t="shared" si="14"/>
        <v>2.5754E-4</v>
      </c>
    </row>
    <row r="165" spans="4:10">
      <c r="D165">
        <f t="shared" ca="1" si="10"/>
        <v>5.4457395174069561</v>
      </c>
      <c r="E165">
        <f t="shared" ca="1" si="11"/>
        <v>1</v>
      </c>
      <c r="F165" s="84">
        <f t="shared" si="12"/>
        <v>69</v>
      </c>
      <c r="G165">
        <v>69</v>
      </c>
      <c r="H165">
        <v>1</v>
      </c>
      <c r="I165">
        <f t="shared" si="13"/>
        <v>1</v>
      </c>
      <c r="J165">
        <f t="shared" si="14"/>
        <v>6.08371E-3</v>
      </c>
    </row>
    <row r="166" spans="4:10">
      <c r="D166">
        <f t="shared" ca="1" si="10"/>
        <v>9.004844075309272</v>
      </c>
      <c r="E166">
        <f t="shared" ca="1" si="11"/>
        <v>0</v>
      </c>
      <c r="F166" s="84">
        <f t="shared" si="12"/>
        <v>49</v>
      </c>
      <c r="G166">
        <v>49</v>
      </c>
      <c r="H166">
        <v>1</v>
      </c>
      <c r="I166">
        <f t="shared" si="13"/>
        <v>1</v>
      </c>
      <c r="J166">
        <f t="shared" si="14"/>
        <v>1.1877400000000001E-3</v>
      </c>
    </row>
    <row r="167" spans="4:10">
      <c r="D167">
        <f t="shared" ca="1" si="10"/>
        <v>69.143243556519096</v>
      </c>
      <c r="E167">
        <f t="shared" ca="1" si="11"/>
        <v>0</v>
      </c>
      <c r="F167" s="84">
        <f t="shared" si="12"/>
        <v>31</v>
      </c>
      <c r="G167">
        <v>31</v>
      </c>
      <c r="H167">
        <v>1</v>
      </c>
      <c r="I167">
        <f t="shared" si="13"/>
        <v>1</v>
      </c>
      <c r="J167">
        <f t="shared" si="14"/>
        <v>3.1021E-4</v>
      </c>
    </row>
    <row r="168" spans="4:10">
      <c r="D168">
        <f t="shared" ca="1" si="10"/>
        <v>47.691933919950188</v>
      </c>
      <c r="E168">
        <f t="shared" ca="1" si="11"/>
        <v>1</v>
      </c>
      <c r="F168" s="84">
        <f t="shared" si="12"/>
        <v>32</v>
      </c>
      <c r="G168">
        <v>32</v>
      </c>
      <c r="H168">
        <v>1</v>
      </c>
      <c r="I168">
        <f t="shared" si="13"/>
        <v>1</v>
      </c>
      <c r="J168">
        <f t="shared" si="14"/>
        <v>3.1137E-4</v>
      </c>
    </row>
    <row r="169" spans="4:10">
      <c r="D169">
        <f t="shared" ca="1" si="10"/>
        <v>73.361692879607574</v>
      </c>
      <c r="E169">
        <f t="shared" ca="1" si="11"/>
        <v>1</v>
      </c>
      <c r="F169" s="84">
        <f t="shared" si="12"/>
        <v>29</v>
      </c>
      <c r="G169">
        <v>29</v>
      </c>
      <c r="H169">
        <v>1</v>
      </c>
      <c r="I169">
        <f t="shared" si="13"/>
        <v>1</v>
      </c>
      <c r="J169">
        <f t="shared" si="14"/>
        <v>3.1763000000000001E-4</v>
      </c>
    </row>
    <row r="170" spans="4:10">
      <c r="D170">
        <f t="shared" ca="1" si="10"/>
        <v>52.439425603490463</v>
      </c>
      <c r="E170">
        <f t="shared" ca="1" si="11"/>
        <v>1</v>
      </c>
      <c r="F170" s="84">
        <f t="shared" si="12"/>
        <v>29</v>
      </c>
      <c r="G170">
        <v>29</v>
      </c>
      <c r="H170">
        <v>1</v>
      </c>
      <c r="I170">
        <f t="shared" si="13"/>
        <v>1</v>
      </c>
      <c r="J170">
        <f t="shared" si="14"/>
        <v>3.1763000000000001E-4</v>
      </c>
    </row>
    <row r="171" spans="4:10">
      <c r="D171">
        <f t="shared" ca="1" si="10"/>
        <v>40.802111659340675</v>
      </c>
      <c r="E171">
        <f t="shared" ca="1" si="11"/>
        <v>0</v>
      </c>
      <c r="F171" s="84">
        <f t="shared" si="12"/>
        <v>18</v>
      </c>
      <c r="G171">
        <v>18</v>
      </c>
      <c r="H171">
        <v>0</v>
      </c>
      <c r="I171">
        <f t="shared" si="13"/>
        <v>1</v>
      </c>
      <c r="J171">
        <f t="shared" si="14"/>
        <v>3.1105E-4</v>
      </c>
    </row>
    <row r="172" spans="4:10">
      <c r="D172">
        <f t="shared" ca="1" si="10"/>
        <v>47.824556243050118</v>
      </c>
      <c r="E172">
        <f t="shared" ca="1" si="11"/>
        <v>0</v>
      </c>
      <c r="F172" s="84">
        <f t="shared" si="12"/>
        <v>48</v>
      </c>
      <c r="G172">
        <v>48</v>
      </c>
      <c r="H172">
        <v>1</v>
      </c>
      <c r="I172">
        <f t="shared" si="13"/>
        <v>1</v>
      </c>
      <c r="J172">
        <f t="shared" si="14"/>
        <v>1.0691400000000001E-3</v>
      </c>
    </row>
    <row r="173" spans="4:10">
      <c r="D173">
        <f t="shared" ca="1" si="10"/>
        <v>52.702275562173917</v>
      </c>
      <c r="E173">
        <f t="shared" ca="1" si="11"/>
        <v>1</v>
      </c>
      <c r="F173" s="84">
        <f t="shared" si="12"/>
        <v>17</v>
      </c>
      <c r="G173">
        <v>17</v>
      </c>
      <c r="H173">
        <v>0</v>
      </c>
      <c r="I173">
        <f t="shared" si="13"/>
        <v>0</v>
      </c>
      <c r="J173">
        <f t="shared" si="14"/>
        <v>3.0355999999999997E-4</v>
      </c>
    </row>
    <row r="174" spans="4:10">
      <c r="D174">
        <f t="shared" ca="1" si="10"/>
        <v>62.620074401034252</v>
      </c>
      <c r="E174">
        <f t="shared" ca="1" si="11"/>
        <v>0</v>
      </c>
      <c r="F174" s="84">
        <f t="shared" si="12"/>
        <v>28</v>
      </c>
      <c r="G174">
        <v>28</v>
      </c>
      <c r="H174">
        <v>1</v>
      </c>
      <c r="I174">
        <f t="shared" si="13"/>
        <v>1</v>
      </c>
      <c r="J174">
        <f t="shared" si="14"/>
        <v>3.1845000000000002E-4</v>
      </c>
    </row>
    <row r="175" spans="4:10">
      <c r="D175">
        <f t="shared" ca="1" si="10"/>
        <v>32.43738518726304</v>
      </c>
      <c r="E175">
        <f t="shared" ca="1" si="11"/>
        <v>0</v>
      </c>
      <c r="F175" s="84">
        <f t="shared" si="12"/>
        <v>31</v>
      </c>
      <c r="G175">
        <v>31</v>
      </c>
      <c r="H175">
        <v>1</v>
      </c>
      <c r="I175">
        <f t="shared" si="13"/>
        <v>1</v>
      </c>
      <c r="J175">
        <f t="shared" si="14"/>
        <v>3.1021E-4</v>
      </c>
    </row>
    <row r="176" spans="4:10">
      <c r="D176">
        <f t="shared" ca="1" si="10"/>
        <v>57.359439459831421</v>
      </c>
      <c r="E176">
        <f t="shared" ca="1" si="11"/>
        <v>1</v>
      </c>
      <c r="F176" s="84">
        <f t="shared" si="12"/>
        <v>42</v>
      </c>
      <c r="G176">
        <v>42</v>
      </c>
      <c r="H176">
        <v>1</v>
      </c>
      <c r="I176">
        <f t="shared" si="13"/>
        <v>1</v>
      </c>
      <c r="J176">
        <f t="shared" si="14"/>
        <v>6.1160999999999995E-4</v>
      </c>
    </row>
    <row r="177" spans="4:10">
      <c r="D177">
        <f t="shared" ca="1" si="10"/>
        <v>43.19968827156903</v>
      </c>
      <c r="E177">
        <f t="shared" ca="1" si="11"/>
        <v>1</v>
      </c>
      <c r="F177" s="84">
        <f t="shared" si="12"/>
        <v>16</v>
      </c>
      <c r="G177">
        <v>16</v>
      </c>
      <c r="H177">
        <v>0</v>
      </c>
      <c r="I177">
        <f t="shared" si="13"/>
        <v>0</v>
      </c>
      <c r="J177">
        <f t="shared" si="14"/>
        <v>2.8579000000000001E-4</v>
      </c>
    </row>
    <row r="178" spans="4:10">
      <c r="D178">
        <f t="shared" ca="1" si="10"/>
        <v>44.483285531308333</v>
      </c>
      <c r="E178">
        <f t="shared" ca="1" si="11"/>
        <v>0</v>
      </c>
      <c r="F178" s="84">
        <f t="shared" si="12"/>
        <v>39</v>
      </c>
      <c r="G178">
        <v>39</v>
      </c>
      <c r="H178">
        <v>0</v>
      </c>
      <c r="I178">
        <f t="shared" si="13"/>
        <v>1</v>
      </c>
      <c r="J178">
        <f t="shared" si="14"/>
        <v>9.5204999999999997E-4</v>
      </c>
    </row>
    <row r="179" spans="4:10">
      <c r="D179">
        <f t="shared" ca="1" si="10"/>
        <v>29.323723086441305</v>
      </c>
      <c r="E179">
        <f t="shared" ca="1" si="11"/>
        <v>1</v>
      </c>
      <c r="F179" s="84">
        <f t="shared" si="12"/>
        <v>28</v>
      </c>
      <c r="G179">
        <v>28</v>
      </c>
      <c r="H179">
        <v>1</v>
      </c>
      <c r="I179">
        <f t="shared" si="13"/>
        <v>1</v>
      </c>
      <c r="J179">
        <f t="shared" si="14"/>
        <v>3.1845000000000002E-4</v>
      </c>
    </row>
    <row r="180" spans="4:10">
      <c r="D180">
        <f t="shared" ca="1" si="10"/>
        <v>24.234857470182746</v>
      </c>
      <c r="E180">
        <f t="shared" ca="1" si="11"/>
        <v>1</v>
      </c>
      <c r="F180" s="84">
        <f t="shared" si="12"/>
        <v>63</v>
      </c>
      <c r="G180">
        <v>63</v>
      </c>
      <c r="H180">
        <v>1</v>
      </c>
      <c r="I180">
        <f t="shared" si="13"/>
        <v>1</v>
      </c>
      <c r="J180">
        <f t="shared" si="14"/>
        <v>3.7797199999999999E-3</v>
      </c>
    </row>
    <row r="181" spans="4:10">
      <c r="D181">
        <f t="shared" ca="1" si="10"/>
        <v>37.362341903517276</v>
      </c>
      <c r="E181">
        <f t="shared" ca="1" si="11"/>
        <v>1</v>
      </c>
      <c r="F181" s="84">
        <f t="shared" si="12"/>
        <v>57</v>
      </c>
      <c r="G181">
        <v>57</v>
      </c>
      <c r="H181">
        <v>1</v>
      </c>
      <c r="I181">
        <f t="shared" si="13"/>
        <v>1</v>
      </c>
      <c r="J181">
        <f t="shared" si="14"/>
        <v>2.4432899999999999E-3</v>
      </c>
    </row>
    <row r="182" spans="4:10">
      <c r="D182">
        <f t="shared" ca="1" si="10"/>
        <v>5.9477552568148795</v>
      </c>
      <c r="E182">
        <f t="shared" ca="1" si="11"/>
        <v>1</v>
      </c>
      <c r="F182" s="84">
        <f t="shared" si="12"/>
        <v>48</v>
      </c>
      <c r="G182">
        <v>48</v>
      </c>
      <c r="H182">
        <v>0</v>
      </c>
      <c r="I182">
        <f t="shared" si="13"/>
        <v>1</v>
      </c>
      <c r="J182">
        <f t="shared" si="14"/>
        <v>2.4474599999999998E-3</v>
      </c>
    </row>
    <row r="183" spans="4:10">
      <c r="D183">
        <f t="shared" ca="1" si="10"/>
        <v>39.218698307596789</v>
      </c>
      <c r="E183">
        <f t="shared" ca="1" si="11"/>
        <v>0</v>
      </c>
      <c r="F183" s="84">
        <f t="shared" si="12"/>
        <v>61</v>
      </c>
      <c r="G183">
        <v>61</v>
      </c>
      <c r="H183">
        <v>1</v>
      </c>
      <c r="I183">
        <f t="shared" si="13"/>
        <v>1</v>
      </c>
      <c r="J183">
        <f t="shared" si="14"/>
        <v>3.2876200000000002E-3</v>
      </c>
    </row>
    <row r="184" spans="4:10">
      <c r="D184">
        <f t="shared" ca="1" si="10"/>
        <v>29.679132248195863</v>
      </c>
      <c r="E184">
        <f t="shared" ca="1" si="11"/>
        <v>1</v>
      </c>
      <c r="F184" s="84">
        <f t="shared" si="12"/>
        <v>66</v>
      </c>
      <c r="G184">
        <v>66</v>
      </c>
      <c r="H184">
        <v>1</v>
      </c>
      <c r="I184">
        <f t="shared" si="13"/>
        <v>1</v>
      </c>
      <c r="J184">
        <f t="shared" si="14"/>
        <v>4.7119800000000002E-3</v>
      </c>
    </row>
    <row r="185" spans="4:10">
      <c r="D185">
        <f t="shared" ca="1" si="10"/>
        <v>45.808110135441815</v>
      </c>
      <c r="E185">
        <f t="shared" ca="1" si="11"/>
        <v>1</v>
      </c>
      <c r="F185" s="84">
        <f t="shared" si="12"/>
        <v>42</v>
      </c>
      <c r="G185">
        <v>42</v>
      </c>
      <c r="H185">
        <v>1</v>
      </c>
      <c r="I185">
        <f t="shared" si="13"/>
        <v>1</v>
      </c>
      <c r="J185">
        <f t="shared" si="14"/>
        <v>6.1160999999999995E-4</v>
      </c>
    </row>
    <row r="186" spans="4:10">
      <c r="D186">
        <f t="shared" ca="1" si="10"/>
        <v>23.694475147780988</v>
      </c>
      <c r="E186">
        <f t="shared" ca="1" si="11"/>
        <v>1</v>
      </c>
      <c r="F186" s="84">
        <f t="shared" si="12"/>
        <v>37</v>
      </c>
      <c r="G186">
        <v>37</v>
      </c>
      <c r="H186">
        <v>1</v>
      </c>
      <c r="I186">
        <f t="shared" si="13"/>
        <v>1</v>
      </c>
      <c r="J186">
        <f t="shared" si="14"/>
        <v>4.1611000000000003E-4</v>
      </c>
    </row>
    <row r="187" spans="4:10">
      <c r="D187">
        <f t="shared" ca="1" si="10"/>
        <v>52.189136663768522</v>
      </c>
      <c r="E187">
        <f t="shared" ca="1" si="11"/>
        <v>1</v>
      </c>
      <c r="F187" s="84">
        <f t="shared" si="12"/>
        <v>15</v>
      </c>
      <c r="G187">
        <v>15</v>
      </c>
      <c r="H187">
        <v>1</v>
      </c>
      <c r="I187">
        <f t="shared" si="13"/>
        <v>0</v>
      </c>
      <c r="J187">
        <f t="shared" si="14"/>
        <v>1.3402999999999999E-4</v>
      </c>
    </row>
    <row r="188" spans="4:10">
      <c r="D188">
        <f t="shared" ca="1" si="10"/>
        <v>16.142664498734806</v>
      </c>
      <c r="E188">
        <f t="shared" ca="1" si="11"/>
        <v>1</v>
      </c>
      <c r="F188" s="84">
        <f t="shared" si="12"/>
        <v>52</v>
      </c>
      <c r="G188">
        <v>52</v>
      </c>
      <c r="H188">
        <v>1</v>
      </c>
      <c r="I188">
        <f t="shared" si="13"/>
        <v>1</v>
      </c>
      <c r="J188">
        <f t="shared" si="14"/>
        <v>1.60396E-3</v>
      </c>
    </row>
    <row r="189" spans="4:10">
      <c r="D189">
        <f t="shared" ca="1" si="10"/>
        <v>57.932531931289631</v>
      </c>
      <c r="E189">
        <f t="shared" ca="1" si="11"/>
        <v>1</v>
      </c>
      <c r="F189" s="84">
        <f t="shared" si="12"/>
        <v>72</v>
      </c>
      <c r="G189">
        <v>72</v>
      </c>
      <c r="H189">
        <v>1</v>
      </c>
      <c r="I189">
        <f t="shared" si="13"/>
        <v>1</v>
      </c>
      <c r="J189">
        <f t="shared" si="14"/>
        <v>8.34792E-3</v>
      </c>
    </row>
    <row r="190" spans="4:10">
      <c r="D190">
        <f t="shared" ca="1" si="10"/>
        <v>61.963944222344551</v>
      </c>
      <c r="E190">
        <f t="shared" ca="1" si="11"/>
        <v>1</v>
      </c>
      <c r="F190" s="84">
        <f t="shared" si="12"/>
        <v>63</v>
      </c>
      <c r="G190">
        <v>63</v>
      </c>
      <c r="H190">
        <v>1</v>
      </c>
      <c r="I190">
        <f t="shared" si="13"/>
        <v>1</v>
      </c>
      <c r="J190">
        <f t="shared" si="14"/>
        <v>3.7797199999999999E-3</v>
      </c>
    </row>
    <row r="191" spans="4:10">
      <c r="D191">
        <f t="shared" ca="1" si="10"/>
        <v>16.079059012453115</v>
      </c>
      <c r="E191">
        <f t="shared" ca="1" si="11"/>
        <v>1</v>
      </c>
      <c r="F191" s="84">
        <f t="shared" si="12"/>
        <v>28</v>
      </c>
      <c r="G191">
        <v>28</v>
      </c>
      <c r="H191">
        <v>1</v>
      </c>
      <c r="I191">
        <f t="shared" si="13"/>
        <v>1</v>
      </c>
      <c r="J191">
        <f t="shared" si="14"/>
        <v>3.1845000000000002E-4</v>
      </c>
    </row>
    <row r="192" spans="4:10">
      <c r="D192">
        <f t="shared" ca="1" si="10"/>
        <v>63.081365535850367</v>
      </c>
      <c r="E192">
        <f t="shared" ca="1" si="11"/>
        <v>1</v>
      </c>
      <c r="F192" s="84">
        <f t="shared" si="12"/>
        <v>71</v>
      </c>
      <c r="G192">
        <v>71</v>
      </c>
      <c r="H192">
        <v>0</v>
      </c>
      <c r="I192">
        <f t="shared" si="13"/>
        <v>1</v>
      </c>
      <c r="J192">
        <f t="shared" si="14"/>
        <v>1.5782210000000001E-2</v>
      </c>
    </row>
    <row r="193" spans="4:10">
      <c r="D193">
        <f t="shared" ca="1" si="10"/>
        <v>28.730659465279288</v>
      </c>
      <c r="E193">
        <f t="shared" ca="1" si="11"/>
        <v>1</v>
      </c>
      <c r="F193" s="84">
        <f t="shared" si="12"/>
        <v>52</v>
      </c>
      <c r="G193">
        <v>52</v>
      </c>
      <c r="H193">
        <v>0</v>
      </c>
      <c r="I193">
        <f t="shared" si="13"/>
        <v>1</v>
      </c>
      <c r="J193">
        <f t="shared" si="14"/>
        <v>3.3874700000000001E-3</v>
      </c>
    </row>
    <row r="194" spans="4:10">
      <c r="D194">
        <f t="shared" ref="D194:D257" ca="1" si="15">NORMINV(RAND(), mean_age, sd_age)</f>
        <v>75.491840126306954</v>
      </c>
      <c r="E194">
        <f t="shared" ref="E194:E257" ca="1" si="16">_xlfn.BINOM.INV(1, prop_female, RAND())</f>
        <v>1</v>
      </c>
      <c r="F194" s="84">
        <f t="shared" ref="F194:F257" si="17">ROUND(G194,0)</f>
        <v>31</v>
      </c>
      <c r="G194">
        <v>31</v>
      </c>
      <c r="H194">
        <v>1</v>
      </c>
      <c r="I194">
        <f t="shared" ref="I194:I257" si="18">IF(G194&lt;18, 0, 1)</f>
        <v>1</v>
      </c>
      <c r="J194">
        <f t="shared" ref="J194:J257" si="19">IF(H194=0,VLOOKUP(G194,$M$2:$O$102,2,TRUE),VLOOKUP(G194,$M$2:$O$102,3,TRUE))</f>
        <v>3.1021E-4</v>
      </c>
    </row>
    <row r="195" spans="4:10">
      <c r="D195">
        <f t="shared" ca="1" si="15"/>
        <v>50.74848384418928</v>
      </c>
      <c r="E195">
        <f t="shared" ca="1" si="16"/>
        <v>0</v>
      </c>
      <c r="F195" s="84">
        <f t="shared" si="17"/>
        <v>50</v>
      </c>
      <c r="G195">
        <v>50</v>
      </c>
      <c r="H195">
        <v>1</v>
      </c>
      <c r="I195">
        <f t="shared" si="18"/>
        <v>1</v>
      </c>
      <c r="J195">
        <f t="shared" si="19"/>
        <v>1.31766E-3</v>
      </c>
    </row>
    <row r="196" spans="4:10">
      <c r="D196">
        <f t="shared" ca="1" si="15"/>
        <v>72.930885727338364</v>
      </c>
      <c r="E196">
        <f t="shared" ca="1" si="16"/>
        <v>1</v>
      </c>
      <c r="F196" s="84">
        <f t="shared" si="17"/>
        <v>53</v>
      </c>
      <c r="G196">
        <v>53</v>
      </c>
      <c r="H196">
        <v>1</v>
      </c>
      <c r="I196">
        <f t="shared" si="18"/>
        <v>1</v>
      </c>
      <c r="J196">
        <f t="shared" si="19"/>
        <v>1.7577700000000001E-3</v>
      </c>
    </row>
    <row r="197" spans="4:10">
      <c r="D197">
        <f t="shared" ca="1" si="15"/>
        <v>50.007000915813066</v>
      </c>
      <c r="E197">
        <f t="shared" ca="1" si="16"/>
        <v>1</v>
      </c>
      <c r="F197" s="84">
        <f t="shared" si="17"/>
        <v>63</v>
      </c>
      <c r="G197">
        <v>63</v>
      </c>
      <c r="H197">
        <v>1</v>
      </c>
      <c r="I197">
        <f t="shared" si="18"/>
        <v>1</v>
      </c>
      <c r="J197">
        <f t="shared" si="19"/>
        <v>3.7797199999999999E-3</v>
      </c>
    </row>
    <row r="198" spans="4:10">
      <c r="D198">
        <f t="shared" ca="1" si="15"/>
        <v>36.444299708508396</v>
      </c>
      <c r="E198">
        <f t="shared" ca="1" si="16"/>
        <v>1</v>
      </c>
      <c r="F198" s="84">
        <f t="shared" si="17"/>
        <v>42</v>
      </c>
      <c r="G198">
        <v>42</v>
      </c>
      <c r="H198">
        <v>1</v>
      </c>
      <c r="I198">
        <f t="shared" si="18"/>
        <v>1</v>
      </c>
      <c r="J198">
        <f t="shared" si="19"/>
        <v>6.1160999999999995E-4</v>
      </c>
    </row>
    <row r="199" spans="4:10">
      <c r="D199">
        <f t="shared" ca="1" si="15"/>
        <v>60.037257844240635</v>
      </c>
      <c r="E199">
        <f t="shared" ca="1" si="16"/>
        <v>0</v>
      </c>
      <c r="F199" s="84">
        <f t="shared" si="17"/>
        <v>61</v>
      </c>
      <c r="G199">
        <v>61</v>
      </c>
      <c r="H199">
        <v>0</v>
      </c>
      <c r="I199">
        <f t="shared" si="18"/>
        <v>1</v>
      </c>
      <c r="J199">
        <f t="shared" si="19"/>
        <v>6.7505899999999999E-3</v>
      </c>
    </row>
    <row r="200" spans="4:10">
      <c r="D200">
        <f t="shared" ca="1" si="15"/>
        <v>47.498083460880864</v>
      </c>
      <c r="E200">
        <f t="shared" ca="1" si="16"/>
        <v>1</v>
      </c>
      <c r="F200" s="84">
        <f t="shared" si="17"/>
        <v>17</v>
      </c>
      <c r="G200">
        <v>17</v>
      </c>
      <c r="H200">
        <v>1</v>
      </c>
      <c r="I200">
        <f t="shared" si="18"/>
        <v>0</v>
      </c>
      <c r="J200">
        <f t="shared" si="19"/>
        <v>1.406E-4</v>
      </c>
    </row>
    <row r="201" spans="4:10">
      <c r="D201">
        <f t="shared" ca="1" si="15"/>
        <v>1.2001731671964961</v>
      </c>
      <c r="E201">
        <f t="shared" ca="1" si="16"/>
        <v>1</v>
      </c>
      <c r="F201" s="84">
        <f t="shared" si="17"/>
        <v>51</v>
      </c>
      <c r="G201">
        <v>51</v>
      </c>
      <c r="H201">
        <v>1</v>
      </c>
      <c r="I201">
        <f t="shared" si="18"/>
        <v>1</v>
      </c>
      <c r="J201">
        <f t="shared" si="19"/>
        <v>1.4570900000000001E-3</v>
      </c>
    </row>
    <row r="202" spans="4:10">
      <c r="D202">
        <f t="shared" ca="1" si="15"/>
        <v>49.387568666972861</v>
      </c>
      <c r="E202">
        <f t="shared" ca="1" si="16"/>
        <v>0</v>
      </c>
      <c r="F202" s="84">
        <f t="shared" si="17"/>
        <v>69</v>
      </c>
      <c r="G202">
        <v>69</v>
      </c>
      <c r="H202">
        <v>1</v>
      </c>
      <c r="I202">
        <f t="shared" si="18"/>
        <v>1</v>
      </c>
      <c r="J202">
        <f t="shared" si="19"/>
        <v>6.08371E-3</v>
      </c>
    </row>
    <row r="203" spans="4:10">
      <c r="D203">
        <f t="shared" ca="1" si="15"/>
        <v>20.186164358678155</v>
      </c>
      <c r="E203">
        <f t="shared" ca="1" si="16"/>
        <v>1</v>
      </c>
      <c r="F203" s="84">
        <f t="shared" si="17"/>
        <v>37</v>
      </c>
      <c r="G203">
        <v>37</v>
      </c>
      <c r="H203">
        <v>1</v>
      </c>
      <c r="I203">
        <f t="shared" si="18"/>
        <v>1</v>
      </c>
      <c r="J203">
        <f t="shared" si="19"/>
        <v>4.1611000000000003E-4</v>
      </c>
    </row>
    <row r="204" spans="4:10">
      <c r="D204">
        <f t="shared" ca="1" si="15"/>
        <v>55.096418597295695</v>
      </c>
      <c r="E204">
        <f t="shared" ca="1" si="16"/>
        <v>1</v>
      </c>
      <c r="F204" s="84">
        <f t="shared" si="17"/>
        <v>52</v>
      </c>
      <c r="G204">
        <v>52</v>
      </c>
      <c r="H204">
        <v>1</v>
      </c>
      <c r="I204">
        <f t="shared" si="18"/>
        <v>1</v>
      </c>
      <c r="J204">
        <f t="shared" si="19"/>
        <v>1.60396E-3</v>
      </c>
    </row>
    <row r="205" spans="4:10">
      <c r="D205">
        <f t="shared" ca="1" si="15"/>
        <v>29.817396585285078</v>
      </c>
      <c r="E205">
        <f t="shared" ca="1" si="16"/>
        <v>1</v>
      </c>
      <c r="F205" s="84">
        <f t="shared" si="17"/>
        <v>53</v>
      </c>
      <c r="G205">
        <v>53</v>
      </c>
      <c r="H205">
        <v>1</v>
      </c>
      <c r="I205">
        <f t="shared" si="18"/>
        <v>1</v>
      </c>
      <c r="J205">
        <f t="shared" si="19"/>
        <v>1.7577700000000001E-3</v>
      </c>
    </row>
    <row r="206" spans="4:10">
      <c r="D206">
        <f t="shared" ca="1" si="15"/>
        <v>34.668928657407676</v>
      </c>
      <c r="E206">
        <f t="shared" ca="1" si="16"/>
        <v>1</v>
      </c>
      <c r="F206" s="84">
        <f t="shared" si="17"/>
        <v>71</v>
      </c>
      <c r="G206">
        <v>71</v>
      </c>
      <c r="H206">
        <v>1</v>
      </c>
      <c r="I206">
        <f t="shared" si="18"/>
        <v>1</v>
      </c>
      <c r="J206">
        <f t="shared" si="19"/>
        <v>7.4666999999999997E-3</v>
      </c>
    </row>
    <row r="207" spans="4:10">
      <c r="D207">
        <f t="shared" ca="1" si="15"/>
        <v>62.575137909377787</v>
      </c>
      <c r="E207">
        <f t="shared" ca="1" si="16"/>
        <v>1</v>
      </c>
      <c r="F207" s="84">
        <f t="shared" si="17"/>
        <v>58</v>
      </c>
      <c r="G207">
        <v>58</v>
      </c>
      <c r="H207">
        <v>1</v>
      </c>
      <c r="I207">
        <f t="shared" si="18"/>
        <v>1</v>
      </c>
      <c r="J207">
        <f t="shared" si="19"/>
        <v>2.63817E-3</v>
      </c>
    </row>
    <row r="208" spans="4:10">
      <c r="D208">
        <f t="shared" ca="1" si="15"/>
        <v>46.842383646091569</v>
      </c>
      <c r="E208">
        <f t="shared" ca="1" si="16"/>
        <v>1</v>
      </c>
      <c r="F208" s="84">
        <f t="shared" si="17"/>
        <v>23</v>
      </c>
      <c r="G208">
        <v>23</v>
      </c>
      <c r="H208">
        <v>0</v>
      </c>
      <c r="I208">
        <f t="shared" si="18"/>
        <v>1</v>
      </c>
      <c r="J208">
        <f t="shared" si="19"/>
        <v>3.1492E-4</v>
      </c>
    </row>
    <row r="209" spans="4:10">
      <c r="D209">
        <f t="shared" ca="1" si="15"/>
        <v>60.034229307004814</v>
      </c>
      <c r="E209">
        <f t="shared" ca="1" si="16"/>
        <v>1</v>
      </c>
      <c r="F209" s="84">
        <f t="shared" si="17"/>
        <v>52</v>
      </c>
      <c r="G209">
        <v>52</v>
      </c>
      <c r="H209">
        <v>1</v>
      </c>
      <c r="I209">
        <f t="shared" si="18"/>
        <v>1</v>
      </c>
      <c r="J209">
        <f t="shared" si="19"/>
        <v>1.60396E-3</v>
      </c>
    </row>
    <row r="210" spans="4:10">
      <c r="D210">
        <f t="shared" ca="1" si="15"/>
        <v>9.6930619769402426</v>
      </c>
      <c r="E210">
        <f t="shared" ca="1" si="16"/>
        <v>1</v>
      </c>
      <c r="F210" s="84">
        <f t="shared" si="17"/>
        <v>72</v>
      </c>
      <c r="G210">
        <v>72</v>
      </c>
      <c r="H210">
        <v>1</v>
      </c>
      <c r="I210">
        <f t="shared" si="18"/>
        <v>1</v>
      </c>
      <c r="J210">
        <f t="shared" si="19"/>
        <v>8.34792E-3</v>
      </c>
    </row>
    <row r="211" spans="4:10">
      <c r="D211">
        <f t="shared" ca="1" si="15"/>
        <v>22.289037013268896</v>
      </c>
      <c r="E211">
        <f t="shared" ca="1" si="16"/>
        <v>1</v>
      </c>
      <c r="F211" s="84">
        <f t="shared" si="17"/>
        <v>50</v>
      </c>
      <c r="G211">
        <v>50</v>
      </c>
      <c r="H211">
        <v>1</v>
      </c>
      <c r="I211">
        <f t="shared" si="18"/>
        <v>1</v>
      </c>
      <c r="J211">
        <f t="shared" si="19"/>
        <v>1.31766E-3</v>
      </c>
    </row>
    <row r="212" spans="4:10">
      <c r="D212">
        <f t="shared" ca="1" si="15"/>
        <v>36.368071439717774</v>
      </c>
      <c r="E212">
        <f t="shared" ca="1" si="16"/>
        <v>0</v>
      </c>
      <c r="F212" s="84">
        <f t="shared" si="17"/>
        <v>36</v>
      </c>
      <c r="G212">
        <v>36</v>
      </c>
      <c r="H212">
        <v>1</v>
      </c>
      <c r="I212">
        <f t="shared" si="18"/>
        <v>1</v>
      </c>
      <c r="J212">
        <f t="shared" si="19"/>
        <v>3.8510999999999998E-4</v>
      </c>
    </row>
    <row r="213" spans="4:10">
      <c r="D213">
        <f t="shared" ca="1" si="15"/>
        <v>56.502005599660585</v>
      </c>
      <c r="E213">
        <f t="shared" ca="1" si="16"/>
        <v>1</v>
      </c>
      <c r="F213" s="84">
        <f t="shared" si="17"/>
        <v>80</v>
      </c>
      <c r="G213">
        <v>80</v>
      </c>
      <c r="H213">
        <v>1</v>
      </c>
      <c r="I213">
        <f t="shared" si="18"/>
        <v>1</v>
      </c>
      <c r="J213">
        <f t="shared" si="19"/>
        <v>2.4305960000000001E-2</v>
      </c>
    </row>
    <row r="214" spans="4:10">
      <c r="D214">
        <f t="shared" ca="1" si="15"/>
        <v>23.32881358330658</v>
      </c>
      <c r="E214">
        <f t="shared" ca="1" si="16"/>
        <v>1</v>
      </c>
      <c r="F214" s="84">
        <f t="shared" si="17"/>
        <v>30</v>
      </c>
      <c r="G214">
        <v>30</v>
      </c>
      <c r="H214">
        <v>1</v>
      </c>
      <c r="I214">
        <f t="shared" si="18"/>
        <v>1</v>
      </c>
      <c r="J214">
        <f t="shared" si="19"/>
        <v>3.1370999999999998E-4</v>
      </c>
    </row>
    <row r="215" spans="4:10">
      <c r="D215">
        <f t="shared" ca="1" si="15"/>
        <v>46.389760750810474</v>
      </c>
      <c r="E215">
        <f t="shared" ca="1" si="16"/>
        <v>0</v>
      </c>
      <c r="F215" s="84">
        <f t="shared" si="17"/>
        <v>45</v>
      </c>
      <c r="G215">
        <v>45</v>
      </c>
      <c r="H215">
        <v>1</v>
      </c>
      <c r="I215">
        <f t="shared" si="18"/>
        <v>1</v>
      </c>
      <c r="J215">
        <f t="shared" si="19"/>
        <v>7.9022999999999995E-4</v>
      </c>
    </row>
    <row r="216" spans="4:10">
      <c r="D216">
        <f t="shared" ca="1" si="15"/>
        <v>46.138132422759412</v>
      </c>
      <c r="E216">
        <f t="shared" ca="1" si="16"/>
        <v>1</v>
      </c>
      <c r="F216" s="84">
        <f t="shared" si="17"/>
        <v>21</v>
      </c>
      <c r="G216">
        <v>21</v>
      </c>
      <c r="H216">
        <v>0</v>
      </c>
      <c r="I216">
        <f t="shared" si="18"/>
        <v>1</v>
      </c>
      <c r="J216">
        <f t="shared" si="19"/>
        <v>3.0009999999999998E-4</v>
      </c>
    </row>
    <row r="217" spans="4:10">
      <c r="D217">
        <f t="shared" ca="1" si="15"/>
        <v>38.26001655995703</v>
      </c>
      <c r="E217">
        <f t="shared" ca="1" si="16"/>
        <v>1</v>
      </c>
      <c r="F217" s="84">
        <f t="shared" si="17"/>
        <v>-7</v>
      </c>
      <c r="G217">
        <v>-7</v>
      </c>
      <c r="H217">
        <v>0</v>
      </c>
      <c r="I217">
        <f t="shared" si="18"/>
        <v>0</v>
      </c>
      <c r="J217" t="e">
        <f t="shared" si="19"/>
        <v>#N/A</v>
      </c>
    </row>
    <row r="218" spans="4:10">
      <c r="D218">
        <f t="shared" ca="1" si="15"/>
        <v>42.016701454930924</v>
      </c>
      <c r="E218">
        <f t="shared" ca="1" si="16"/>
        <v>1</v>
      </c>
      <c r="F218" s="84">
        <f t="shared" si="17"/>
        <v>46</v>
      </c>
      <c r="G218">
        <v>46</v>
      </c>
      <c r="H218">
        <v>0</v>
      </c>
      <c r="I218">
        <f t="shared" si="18"/>
        <v>1</v>
      </c>
      <c r="J218">
        <f t="shared" si="19"/>
        <v>1.9912900000000002E-3</v>
      </c>
    </row>
    <row r="219" spans="4:10">
      <c r="D219">
        <f t="shared" ca="1" si="15"/>
        <v>25.193229293273074</v>
      </c>
      <c r="E219">
        <f t="shared" ca="1" si="16"/>
        <v>1</v>
      </c>
      <c r="F219" s="84">
        <f t="shared" si="17"/>
        <v>36</v>
      </c>
      <c r="G219">
        <v>36</v>
      </c>
      <c r="H219">
        <v>1</v>
      </c>
      <c r="I219">
        <f t="shared" si="18"/>
        <v>1</v>
      </c>
      <c r="J219">
        <f t="shared" si="19"/>
        <v>3.8510999999999998E-4</v>
      </c>
    </row>
    <row r="220" spans="4:10">
      <c r="D220">
        <f t="shared" ca="1" si="15"/>
        <v>54.168416071794468</v>
      </c>
      <c r="E220">
        <f t="shared" ca="1" si="16"/>
        <v>1</v>
      </c>
      <c r="F220" s="84">
        <f t="shared" si="17"/>
        <v>20</v>
      </c>
      <c r="G220">
        <v>20</v>
      </c>
      <c r="H220">
        <v>0</v>
      </c>
      <c r="I220">
        <f t="shared" si="18"/>
        <v>1</v>
      </c>
      <c r="J220">
        <f t="shared" si="19"/>
        <v>3.0442000000000002E-4</v>
      </c>
    </row>
    <row r="221" spans="4:10">
      <c r="D221">
        <f t="shared" ca="1" si="15"/>
        <v>66.510710053330669</v>
      </c>
      <c r="E221">
        <f t="shared" ca="1" si="16"/>
        <v>0</v>
      </c>
      <c r="F221" s="84">
        <f t="shared" si="17"/>
        <v>65</v>
      </c>
      <c r="G221">
        <v>65</v>
      </c>
      <c r="H221">
        <v>0</v>
      </c>
      <c r="I221">
        <f t="shared" si="18"/>
        <v>1</v>
      </c>
      <c r="J221">
        <f t="shared" si="19"/>
        <v>9.4118199999999996E-3</v>
      </c>
    </row>
    <row r="222" spans="4:10">
      <c r="D222">
        <f t="shared" ca="1" si="15"/>
        <v>81.842013099504783</v>
      </c>
      <c r="E222">
        <f t="shared" ca="1" si="16"/>
        <v>1</v>
      </c>
      <c r="F222" s="84">
        <f t="shared" si="17"/>
        <v>52</v>
      </c>
      <c r="G222">
        <v>52</v>
      </c>
      <c r="H222">
        <v>0</v>
      </c>
      <c r="I222">
        <f t="shared" si="18"/>
        <v>1</v>
      </c>
      <c r="J222">
        <f t="shared" si="19"/>
        <v>3.3874700000000001E-3</v>
      </c>
    </row>
    <row r="223" spans="4:10">
      <c r="D223">
        <f t="shared" ca="1" si="15"/>
        <v>53.106448650493064</v>
      </c>
      <c r="E223">
        <f t="shared" ca="1" si="16"/>
        <v>0</v>
      </c>
      <c r="F223" s="84">
        <f t="shared" si="17"/>
        <v>36</v>
      </c>
      <c r="G223">
        <v>36</v>
      </c>
      <c r="H223">
        <v>0</v>
      </c>
      <c r="I223">
        <f t="shared" si="18"/>
        <v>1</v>
      </c>
      <c r="J223">
        <f t="shared" si="19"/>
        <v>7.8529000000000001E-4</v>
      </c>
    </row>
    <row r="224" spans="4:10">
      <c r="D224">
        <f t="shared" ca="1" si="15"/>
        <v>51.588178172808291</v>
      </c>
      <c r="E224">
        <f t="shared" ca="1" si="16"/>
        <v>1</v>
      </c>
      <c r="F224" s="84">
        <f t="shared" si="17"/>
        <v>20</v>
      </c>
      <c r="G224">
        <v>20</v>
      </c>
      <c r="H224">
        <v>1</v>
      </c>
      <c r="I224">
        <f t="shared" si="18"/>
        <v>1</v>
      </c>
      <c r="J224">
        <f t="shared" si="19"/>
        <v>1.6644000000000001E-4</v>
      </c>
    </row>
    <row r="225" spans="4:10">
      <c r="D225">
        <f t="shared" ca="1" si="15"/>
        <v>64.359856150676478</v>
      </c>
      <c r="E225">
        <f t="shared" ca="1" si="16"/>
        <v>1</v>
      </c>
      <c r="F225" s="84">
        <f t="shared" si="17"/>
        <v>60</v>
      </c>
      <c r="G225">
        <v>60</v>
      </c>
      <c r="H225">
        <v>1</v>
      </c>
      <c r="I225">
        <f t="shared" si="18"/>
        <v>1</v>
      </c>
      <c r="J225">
        <f t="shared" si="19"/>
        <v>3.06333E-3</v>
      </c>
    </row>
    <row r="226" spans="4:10">
      <c r="D226">
        <f t="shared" ca="1" si="15"/>
        <v>29.461604158499714</v>
      </c>
      <c r="E226">
        <f t="shared" ca="1" si="16"/>
        <v>1</v>
      </c>
      <c r="F226" s="84">
        <f t="shared" si="17"/>
        <v>26</v>
      </c>
      <c r="G226">
        <v>26</v>
      </c>
      <c r="H226">
        <v>1</v>
      </c>
      <c r="I226">
        <f t="shared" si="18"/>
        <v>1</v>
      </c>
      <c r="J226">
        <f t="shared" si="19"/>
        <v>3.0111E-4</v>
      </c>
    </row>
    <row r="227" spans="4:10">
      <c r="D227">
        <f t="shared" ca="1" si="15"/>
        <v>49.175218829615901</v>
      </c>
      <c r="E227">
        <f t="shared" ca="1" si="16"/>
        <v>1</v>
      </c>
      <c r="F227" s="84">
        <f t="shared" si="17"/>
        <v>46</v>
      </c>
      <c r="G227">
        <v>46</v>
      </c>
      <c r="H227">
        <v>1</v>
      </c>
      <c r="I227">
        <f t="shared" si="18"/>
        <v>1</v>
      </c>
      <c r="J227">
        <f t="shared" si="19"/>
        <v>8.7060000000000002E-4</v>
      </c>
    </row>
    <row r="228" spans="4:10">
      <c r="D228">
        <f t="shared" ca="1" si="15"/>
        <v>66.849093995963955</v>
      </c>
      <c r="E228">
        <f t="shared" ca="1" si="16"/>
        <v>1</v>
      </c>
      <c r="F228" s="84">
        <f t="shared" si="17"/>
        <v>34</v>
      </c>
      <c r="G228">
        <v>34</v>
      </c>
      <c r="H228">
        <v>1</v>
      </c>
      <c r="I228">
        <f t="shared" si="18"/>
        <v>1</v>
      </c>
      <c r="J228">
        <f t="shared" si="19"/>
        <v>3.3452999999999998E-4</v>
      </c>
    </row>
    <row r="229" spans="4:10">
      <c r="D229">
        <f t="shared" ca="1" si="15"/>
        <v>67.57725735723902</v>
      </c>
      <c r="E229">
        <f t="shared" ca="1" si="16"/>
        <v>1</v>
      </c>
      <c r="F229" s="84">
        <f t="shared" si="17"/>
        <v>12</v>
      </c>
      <c r="G229">
        <v>12</v>
      </c>
      <c r="H229">
        <v>1</v>
      </c>
      <c r="I229">
        <f t="shared" si="18"/>
        <v>0</v>
      </c>
      <c r="J229">
        <f t="shared" si="19"/>
        <v>1.2228E-4</v>
      </c>
    </row>
    <row r="230" spans="4:10">
      <c r="D230">
        <f t="shared" ca="1" si="15"/>
        <v>53.120850412332615</v>
      </c>
      <c r="E230">
        <f t="shared" ca="1" si="16"/>
        <v>1</v>
      </c>
      <c r="F230" s="84">
        <f t="shared" si="17"/>
        <v>45</v>
      </c>
      <c r="G230">
        <v>45</v>
      </c>
      <c r="H230">
        <v>1</v>
      </c>
      <c r="I230">
        <f t="shared" si="18"/>
        <v>1</v>
      </c>
      <c r="J230">
        <f t="shared" si="19"/>
        <v>7.9022999999999995E-4</v>
      </c>
    </row>
    <row r="231" spans="4:10">
      <c r="D231">
        <f t="shared" ca="1" si="15"/>
        <v>71.862312416432189</v>
      </c>
      <c r="E231">
        <f t="shared" ca="1" si="16"/>
        <v>0</v>
      </c>
      <c r="F231" s="84">
        <f t="shared" si="17"/>
        <v>78</v>
      </c>
      <c r="G231">
        <v>78</v>
      </c>
      <c r="H231">
        <v>0</v>
      </c>
      <c r="I231">
        <f t="shared" si="18"/>
        <v>1</v>
      </c>
      <c r="J231">
        <f t="shared" si="19"/>
        <v>3.5170260000000002E-2</v>
      </c>
    </row>
    <row r="232" spans="4:10">
      <c r="D232">
        <f t="shared" ca="1" si="15"/>
        <v>45.228116602534399</v>
      </c>
      <c r="E232">
        <f t="shared" ca="1" si="16"/>
        <v>1</v>
      </c>
      <c r="F232" s="84">
        <f t="shared" si="17"/>
        <v>67</v>
      </c>
      <c r="G232">
        <v>67</v>
      </c>
      <c r="H232">
        <v>1</v>
      </c>
      <c r="I232">
        <f t="shared" si="18"/>
        <v>1</v>
      </c>
      <c r="J232">
        <f t="shared" si="19"/>
        <v>5.09392E-3</v>
      </c>
    </row>
    <row r="233" spans="4:10">
      <c r="D233">
        <f t="shared" ca="1" si="15"/>
        <v>39.310487186082717</v>
      </c>
      <c r="E233">
        <f t="shared" ca="1" si="16"/>
        <v>0</v>
      </c>
      <c r="F233" s="84">
        <f t="shared" si="17"/>
        <v>50</v>
      </c>
      <c r="G233">
        <v>50</v>
      </c>
      <c r="H233">
        <v>0</v>
      </c>
      <c r="I233">
        <f t="shared" si="18"/>
        <v>1</v>
      </c>
      <c r="J233">
        <f t="shared" si="19"/>
        <v>2.92384E-3</v>
      </c>
    </row>
    <row r="234" spans="4:10">
      <c r="D234">
        <f t="shared" ca="1" si="15"/>
        <v>43.196887452172746</v>
      </c>
      <c r="E234">
        <f t="shared" ca="1" si="16"/>
        <v>1</v>
      </c>
      <c r="F234" s="84">
        <f t="shared" si="17"/>
        <v>64</v>
      </c>
      <c r="G234">
        <v>64</v>
      </c>
      <c r="H234">
        <v>1</v>
      </c>
      <c r="I234">
        <f t="shared" si="18"/>
        <v>1</v>
      </c>
      <c r="J234">
        <f t="shared" si="19"/>
        <v>4.06529E-3</v>
      </c>
    </row>
    <row r="235" spans="4:10">
      <c r="D235">
        <f t="shared" ca="1" si="15"/>
        <v>68.834292845450534</v>
      </c>
      <c r="E235">
        <f t="shared" ca="1" si="16"/>
        <v>1</v>
      </c>
      <c r="F235" s="84">
        <f t="shared" si="17"/>
        <v>36</v>
      </c>
      <c r="G235">
        <v>36</v>
      </c>
      <c r="H235">
        <v>1</v>
      </c>
      <c r="I235">
        <f t="shared" si="18"/>
        <v>1</v>
      </c>
      <c r="J235">
        <f t="shared" si="19"/>
        <v>3.8510999999999998E-4</v>
      </c>
    </row>
    <row r="236" spans="4:10">
      <c r="D236">
        <f t="shared" ca="1" si="15"/>
        <v>35.526221077399548</v>
      </c>
      <c r="E236">
        <f t="shared" ca="1" si="16"/>
        <v>0</v>
      </c>
      <c r="F236" s="84">
        <f t="shared" si="17"/>
        <v>82</v>
      </c>
      <c r="G236">
        <v>82</v>
      </c>
      <c r="H236">
        <v>0</v>
      </c>
      <c r="I236">
        <f t="shared" si="18"/>
        <v>1</v>
      </c>
      <c r="J236">
        <f t="shared" si="19"/>
        <v>5.2779779999999998E-2</v>
      </c>
    </row>
    <row r="237" spans="4:10">
      <c r="D237">
        <f t="shared" ca="1" si="15"/>
        <v>60.273015818148863</v>
      </c>
      <c r="E237">
        <f t="shared" ca="1" si="16"/>
        <v>1</v>
      </c>
      <c r="F237" s="84">
        <f t="shared" si="17"/>
        <v>50</v>
      </c>
      <c r="G237">
        <v>50</v>
      </c>
      <c r="H237">
        <v>1</v>
      </c>
      <c r="I237">
        <f t="shared" si="18"/>
        <v>1</v>
      </c>
      <c r="J237">
        <f t="shared" si="19"/>
        <v>1.31766E-3</v>
      </c>
    </row>
    <row r="238" spans="4:10">
      <c r="D238">
        <f t="shared" ca="1" si="15"/>
        <v>48.855206424268431</v>
      </c>
      <c r="E238">
        <f t="shared" ca="1" si="16"/>
        <v>1</v>
      </c>
      <c r="F238" s="84">
        <f t="shared" si="17"/>
        <v>47</v>
      </c>
      <c r="G238">
        <v>47</v>
      </c>
      <c r="H238">
        <v>1</v>
      </c>
      <c r="I238">
        <f t="shared" si="18"/>
        <v>1</v>
      </c>
      <c r="J238">
        <f t="shared" si="19"/>
        <v>9.6336999999999996E-4</v>
      </c>
    </row>
    <row r="239" spans="4:10">
      <c r="D239">
        <f t="shared" ca="1" si="15"/>
        <v>18.004389170037946</v>
      </c>
      <c r="E239">
        <f t="shared" ca="1" si="16"/>
        <v>1</v>
      </c>
      <c r="F239" s="84">
        <f t="shared" si="17"/>
        <v>58</v>
      </c>
      <c r="G239">
        <v>58</v>
      </c>
      <c r="H239">
        <v>1</v>
      </c>
      <c r="I239">
        <f t="shared" si="18"/>
        <v>1</v>
      </c>
      <c r="J239">
        <f t="shared" si="19"/>
        <v>2.63817E-3</v>
      </c>
    </row>
    <row r="240" spans="4:10">
      <c r="D240">
        <f t="shared" ca="1" si="15"/>
        <v>60.607506340414808</v>
      </c>
      <c r="E240">
        <f t="shared" ca="1" si="16"/>
        <v>1</v>
      </c>
      <c r="F240" s="84">
        <f t="shared" si="17"/>
        <v>31</v>
      </c>
      <c r="G240">
        <v>31</v>
      </c>
      <c r="H240">
        <v>1</v>
      </c>
      <c r="I240">
        <f t="shared" si="18"/>
        <v>1</v>
      </c>
      <c r="J240">
        <f t="shared" si="19"/>
        <v>3.1021E-4</v>
      </c>
    </row>
    <row r="241" spans="4:10">
      <c r="D241">
        <f t="shared" ca="1" si="15"/>
        <v>48.347554049425241</v>
      </c>
      <c r="E241">
        <f t="shared" ca="1" si="16"/>
        <v>1</v>
      </c>
      <c r="F241" s="84">
        <f t="shared" si="17"/>
        <v>77</v>
      </c>
      <c r="G241">
        <v>77</v>
      </c>
      <c r="H241">
        <v>1</v>
      </c>
      <c r="I241">
        <f t="shared" si="18"/>
        <v>1</v>
      </c>
      <c r="J241">
        <f t="shared" si="19"/>
        <v>1.6082320000000001E-2</v>
      </c>
    </row>
    <row r="242" spans="4:10">
      <c r="D242">
        <f t="shared" ca="1" si="15"/>
        <v>36.322165529365655</v>
      </c>
      <c r="E242">
        <f t="shared" ca="1" si="16"/>
        <v>1</v>
      </c>
      <c r="F242" s="84">
        <f t="shared" si="17"/>
        <v>53</v>
      </c>
      <c r="G242">
        <v>53</v>
      </c>
      <c r="H242">
        <v>1</v>
      </c>
      <c r="I242">
        <f t="shared" si="18"/>
        <v>1</v>
      </c>
      <c r="J242">
        <f t="shared" si="19"/>
        <v>1.7577700000000001E-3</v>
      </c>
    </row>
    <row r="243" spans="4:10">
      <c r="D243">
        <f t="shared" ca="1" si="15"/>
        <v>43.979129729156618</v>
      </c>
      <c r="E243">
        <f t="shared" ca="1" si="16"/>
        <v>1</v>
      </c>
      <c r="F243" s="84">
        <f t="shared" si="17"/>
        <v>21</v>
      </c>
      <c r="G243">
        <v>21</v>
      </c>
      <c r="H243">
        <v>1</v>
      </c>
      <c r="I243">
        <f t="shared" si="18"/>
        <v>1</v>
      </c>
      <c r="J243">
        <f t="shared" si="19"/>
        <v>1.8384E-4</v>
      </c>
    </row>
    <row r="244" spans="4:10">
      <c r="D244">
        <f t="shared" ca="1" si="15"/>
        <v>44.319280796037319</v>
      </c>
      <c r="E244">
        <f t="shared" ca="1" si="16"/>
        <v>1</v>
      </c>
      <c r="F244" s="84">
        <f t="shared" si="17"/>
        <v>54</v>
      </c>
      <c r="G244">
        <v>54</v>
      </c>
      <c r="H244">
        <v>1</v>
      </c>
      <c r="I244">
        <f t="shared" si="18"/>
        <v>1</v>
      </c>
      <c r="J244">
        <f t="shared" si="19"/>
        <v>1.9186400000000001E-3</v>
      </c>
    </row>
    <row r="245" spans="4:10">
      <c r="D245">
        <f t="shared" ca="1" si="15"/>
        <v>39.195591819909403</v>
      </c>
      <c r="E245">
        <f t="shared" ca="1" si="16"/>
        <v>1</v>
      </c>
      <c r="F245" s="84">
        <f t="shared" si="17"/>
        <v>57</v>
      </c>
      <c r="G245">
        <v>57</v>
      </c>
      <c r="H245">
        <v>1</v>
      </c>
      <c r="I245">
        <f t="shared" si="18"/>
        <v>1</v>
      </c>
      <c r="J245">
        <f t="shared" si="19"/>
        <v>2.4432899999999999E-3</v>
      </c>
    </row>
    <row r="246" spans="4:10">
      <c r="D246">
        <f t="shared" ca="1" si="15"/>
        <v>22.31962531487892</v>
      </c>
      <c r="E246">
        <f t="shared" ca="1" si="16"/>
        <v>1</v>
      </c>
      <c r="F246" s="84">
        <f t="shared" si="17"/>
        <v>82</v>
      </c>
      <c r="G246">
        <v>82</v>
      </c>
      <c r="H246">
        <v>1</v>
      </c>
      <c r="I246">
        <f t="shared" si="18"/>
        <v>1</v>
      </c>
      <c r="J246">
        <f t="shared" si="19"/>
        <v>3.1435110000000002E-2</v>
      </c>
    </row>
    <row r="247" spans="4:10">
      <c r="D247">
        <f t="shared" ca="1" si="15"/>
        <v>43.162560737362746</v>
      </c>
      <c r="E247">
        <f t="shared" ca="1" si="16"/>
        <v>0</v>
      </c>
      <c r="F247" s="84">
        <f t="shared" si="17"/>
        <v>62</v>
      </c>
      <c r="G247">
        <v>62</v>
      </c>
      <c r="H247">
        <v>1</v>
      </c>
      <c r="I247">
        <f t="shared" si="18"/>
        <v>1</v>
      </c>
      <c r="J247">
        <f t="shared" si="19"/>
        <v>3.5238499999999998E-3</v>
      </c>
    </row>
    <row r="248" spans="4:10">
      <c r="D248">
        <f t="shared" ca="1" si="15"/>
        <v>27.656396144242912</v>
      </c>
      <c r="E248">
        <f t="shared" ca="1" si="16"/>
        <v>1</v>
      </c>
      <c r="F248" s="84">
        <f t="shared" si="17"/>
        <v>72</v>
      </c>
      <c r="G248">
        <v>72</v>
      </c>
      <c r="H248">
        <v>1</v>
      </c>
      <c r="I248">
        <f t="shared" si="18"/>
        <v>1</v>
      </c>
      <c r="J248">
        <f t="shared" si="19"/>
        <v>8.34792E-3</v>
      </c>
    </row>
    <row r="249" spans="4:10">
      <c r="D249">
        <f t="shared" ca="1" si="15"/>
        <v>77.096265979953714</v>
      </c>
      <c r="E249">
        <f t="shared" ca="1" si="16"/>
        <v>0</v>
      </c>
      <c r="F249" s="84">
        <f t="shared" si="17"/>
        <v>62</v>
      </c>
      <c r="G249">
        <v>62</v>
      </c>
      <c r="H249">
        <v>1</v>
      </c>
      <c r="I249">
        <f t="shared" si="18"/>
        <v>1</v>
      </c>
      <c r="J249">
        <f t="shared" si="19"/>
        <v>3.5238499999999998E-3</v>
      </c>
    </row>
    <row r="250" spans="4:10">
      <c r="D250">
        <f t="shared" ca="1" si="15"/>
        <v>50.240061423838611</v>
      </c>
      <c r="E250">
        <f t="shared" ca="1" si="16"/>
        <v>1</v>
      </c>
      <c r="F250" s="84">
        <f t="shared" si="17"/>
        <v>33</v>
      </c>
      <c r="G250">
        <v>33</v>
      </c>
      <c r="H250">
        <v>1</v>
      </c>
      <c r="I250">
        <f t="shared" si="18"/>
        <v>1</v>
      </c>
      <c r="J250">
        <f t="shared" si="19"/>
        <v>3.1915999999999997E-4</v>
      </c>
    </row>
    <row r="251" spans="4:10">
      <c r="D251">
        <f t="shared" ca="1" si="15"/>
        <v>74.464430920400588</v>
      </c>
      <c r="E251">
        <f t="shared" ca="1" si="16"/>
        <v>1</v>
      </c>
      <c r="F251" s="84">
        <f t="shared" si="17"/>
        <v>46</v>
      </c>
      <c r="G251">
        <v>46</v>
      </c>
      <c r="H251">
        <v>1</v>
      </c>
      <c r="I251">
        <f t="shared" si="18"/>
        <v>1</v>
      </c>
      <c r="J251">
        <f t="shared" si="19"/>
        <v>8.7060000000000002E-4</v>
      </c>
    </row>
    <row r="252" spans="4:10">
      <c r="D252">
        <f t="shared" ca="1" si="15"/>
        <v>74.138665155310576</v>
      </c>
      <c r="E252">
        <f t="shared" ca="1" si="16"/>
        <v>1</v>
      </c>
      <c r="F252" s="84">
        <f t="shared" si="17"/>
        <v>74</v>
      </c>
      <c r="G252">
        <v>74</v>
      </c>
      <c r="H252">
        <v>1</v>
      </c>
      <c r="I252">
        <f t="shared" si="18"/>
        <v>1</v>
      </c>
      <c r="J252">
        <f t="shared" si="19"/>
        <v>1.066982E-2</v>
      </c>
    </row>
    <row r="253" spans="4:10">
      <c r="D253">
        <f t="shared" ca="1" si="15"/>
        <v>43.73806646407845</v>
      </c>
      <c r="E253">
        <f t="shared" ca="1" si="16"/>
        <v>1</v>
      </c>
      <c r="F253" s="84">
        <f t="shared" si="17"/>
        <v>12</v>
      </c>
      <c r="G253">
        <v>12</v>
      </c>
      <c r="H253">
        <v>1</v>
      </c>
      <c r="I253">
        <f t="shared" si="18"/>
        <v>0</v>
      </c>
      <c r="J253">
        <f t="shared" si="19"/>
        <v>1.2228E-4</v>
      </c>
    </row>
    <row r="254" spans="4:10">
      <c r="D254">
        <f t="shared" ca="1" si="15"/>
        <v>39.249516079928497</v>
      </c>
      <c r="E254">
        <f t="shared" ca="1" si="16"/>
        <v>0</v>
      </c>
      <c r="F254" s="84">
        <f t="shared" si="17"/>
        <v>51</v>
      </c>
      <c r="G254">
        <v>51</v>
      </c>
      <c r="H254">
        <v>0</v>
      </c>
      <c r="I254">
        <f t="shared" si="18"/>
        <v>1</v>
      </c>
      <c r="J254">
        <f t="shared" si="19"/>
        <v>3.1559499999999998E-3</v>
      </c>
    </row>
    <row r="255" spans="4:10">
      <c r="D255">
        <f t="shared" ca="1" si="15"/>
        <v>22.213928114684435</v>
      </c>
      <c r="E255">
        <f t="shared" ca="1" si="16"/>
        <v>1</v>
      </c>
      <c r="F255" s="84">
        <f t="shared" si="17"/>
        <v>44</v>
      </c>
      <c r="G255">
        <v>44</v>
      </c>
      <c r="H255">
        <v>1</v>
      </c>
      <c r="I255">
        <f t="shared" si="18"/>
        <v>1</v>
      </c>
      <c r="J255">
        <f t="shared" si="19"/>
        <v>7.2154999999999995E-4</v>
      </c>
    </row>
    <row r="256" spans="4:10">
      <c r="D256">
        <f t="shared" ca="1" si="15"/>
        <v>33.0141930865164</v>
      </c>
      <c r="E256">
        <f t="shared" ca="1" si="16"/>
        <v>1</v>
      </c>
      <c r="F256" s="84">
        <f t="shared" si="17"/>
        <v>17</v>
      </c>
      <c r="G256">
        <v>17</v>
      </c>
      <c r="H256">
        <v>0</v>
      </c>
      <c r="I256">
        <f t="shared" si="18"/>
        <v>0</v>
      </c>
      <c r="J256">
        <f t="shared" si="19"/>
        <v>3.0355999999999997E-4</v>
      </c>
    </row>
    <row r="257" spans="4:10">
      <c r="D257">
        <f t="shared" ca="1" si="15"/>
        <v>53.148850907281656</v>
      </c>
      <c r="E257">
        <f t="shared" ca="1" si="16"/>
        <v>0</v>
      </c>
      <c r="F257" s="84">
        <f t="shared" si="17"/>
        <v>80</v>
      </c>
      <c r="G257">
        <v>80</v>
      </c>
      <c r="H257">
        <v>0</v>
      </c>
      <c r="I257">
        <f t="shared" si="18"/>
        <v>1</v>
      </c>
      <c r="J257">
        <f t="shared" si="19"/>
        <v>4.3443530000000001E-2</v>
      </c>
    </row>
    <row r="258" spans="4:10">
      <c r="D258">
        <f t="shared" ref="D258:D321" ca="1" si="20">NORMINV(RAND(), mean_age, sd_age)</f>
        <v>58.403583092217012</v>
      </c>
      <c r="E258">
        <f t="shared" ref="E258:E321" ca="1" si="21">_xlfn.BINOM.INV(1, prop_female, RAND())</f>
        <v>1</v>
      </c>
      <c r="F258" s="84">
        <f t="shared" ref="F258:F321" si="22">ROUND(G258,0)</f>
        <v>32</v>
      </c>
      <c r="G258">
        <v>32</v>
      </c>
      <c r="H258">
        <v>0</v>
      </c>
      <c r="I258">
        <f t="shared" ref="I258:I321" si="23">IF(G258&lt;18, 0, 1)</f>
        <v>1</v>
      </c>
      <c r="J258">
        <f t="shared" ref="J258:J321" si="24">IF(H258=0,VLOOKUP(G258,$M$2:$O$102,2,TRUE),VLOOKUP(G258,$M$2:$O$102,3,TRUE))</f>
        <v>6.2838E-4</v>
      </c>
    </row>
    <row r="259" spans="4:10">
      <c r="D259">
        <f t="shared" ca="1" si="20"/>
        <v>56.192889296469581</v>
      </c>
      <c r="E259">
        <f t="shared" ca="1" si="21"/>
        <v>1</v>
      </c>
      <c r="F259" s="84">
        <f t="shared" si="22"/>
        <v>71</v>
      </c>
      <c r="G259">
        <v>71</v>
      </c>
      <c r="H259">
        <v>1</v>
      </c>
      <c r="I259">
        <f t="shared" si="23"/>
        <v>1</v>
      </c>
      <c r="J259">
        <f t="shared" si="24"/>
        <v>7.4666999999999997E-3</v>
      </c>
    </row>
    <row r="260" spans="4:10">
      <c r="D260">
        <f t="shared" ca="1" si="20"/>
        <v>29.002283515240201</v>
      </c>
      <c r="E260">
        <f t="shared" ca="1" si="21"/>
        <v>1</v>
      </c>
      <c r="F260" s="84">
        <f t="shared" si="22"/>
        <v>45</v>
      </c>
      <c r="G260">
        <v>45</v>
      </c>
      <c r="H260">
        <v>1</v>
      </c>
      <c r="I260">
        <f t="shared" si="23"/>
        <v>1</v>
      </c>
      <c r="J260">
        <f t="shared" si="24"/>
        <v>7.9022999999999995E-4</v>
      </c>
    </row>
    <row r="261" spans="4:10">
      <c r="D261">
        <f t="shared" ca="1" si="20"/>
        <v>30.39440530168768</v>
      </c>
      <c r="E261">
        <f t="shared" ca="1" si="21"/>
        <v>0</v>
      </c>
      <c r="F261" s="84">
        <f t="shared" si="22"/>
        <v>20</v>
      </c>
      <c r="G261">
        <v>20</v>
      </c>
      <c r="H261">
        <v>1</v>
      </c>
      <c r="I261">
        <f t="shared" si="23"/>
        <v>1</v>
      </c>
      <c r="J261">
        <f t="shared" si="24"/>
        <v>1.6644000000000001E-4</v>
      </c>
    </row>
    <row r="262" spans="4:10">
      <c r="D262">
        <f t="shared" ca="1" si="20"/>
        <v>31.794227761779787</v>
      </c>
      <c r="E262">
        <f t="shared" ca="1" si="21"/>
        <v>1</v>
      </c>
      <c r="F262" s="84">
        <f t="shared" si="22"/>
        <v>51</v>
      </c>
      <c r="G262">
        <v>51</v>
      </c>
      <c r="H262">
        <v>1</v>
      </c>
      <c r="I262">
        <f t="shared" si="23"/>
        <v>1</v>
      </c>
      <c r="J262">
        <f t="shared" si="24"/>
        <v>1.4570900000000001E-3</v>
      </c>
    </row>
    <row r="263" spans="4:10">
      <c r="D263">
        <f t="shared" ca="1" si="20"/>
        <v>39.204064417525018</v>
      </c>
      <c r="E263">
        <f t="shared" ca="1" si="21"/>
        <v>0</v>
      </c>
      <c r="F263" s="84">
        <f t="shared" si="22"/>
        <v>24</v>
      </c>
      <c r="G263">
        <v>24</v>
      </c>
      <c r="H263">
        <v>1</v>
      </c>
      <c r="I263">
        <f t="shared" si="23"/>
        <v>1</v>
      </c>
      <c r="J263">
        <f t="shared" si="24"/>
        <v>2.5754E-4</v>
      </c>
    </row>
    <row r="264" spans="4:10">
      <c r="D264">
        <f t="shared" ca="1" si="20"/>
        <v>43.216885729302852</v>
      </c>
      <c r="E264">
        <f t="shared" ca="1" si="21"/>
        <v>0</v>
      </c>
      <c r="F264" s="84">
        <f t="shared" si="22"/>
        <v>44</v>
      </c>
      <c r="G264">
        <v>44</v>
      </c>
      <c r="H264">
        <v>1</v>
      </c>
      <c r="I264">
        <f t="shared" si="23"/>
        <v>1</v>
      </c>
      <c r="J264">
        <f t="shared" si="24"/>
        <v>7.2154999999999995E-4</v>
      </c>
    </row>
    <row r="265" spans="4:10">
      <c r="D265">
        <f t="shared" ca="1" si="20"/>
        <v>72.335047693668756</v>
      </c>
      <c r="E265">
        <f t="shared" ca="1" si="21"/>
        <v>0</v>
      </c>
      <c r="F265" s="84">
        <f t="shared" si="22"/>
        <v>41</v>
      </c>
      <c r="G265">
        <v>41</v>
      </c>
      <c r="H265">
        <v>1</v>
      </c>
      <c r="I265">
        <f t="shared" si="23"/>
        <v>1</v>
      </c>
      <c r="J265">
        <f t="shared" si="24"/>
        <v>5.6607000000000001E-4</v>
      </c>
    </row>
    <row r="266" spans="4:10">
      <c r="D266">
        <f t="shared" ca="1" si="20"/>
        <v>47.993007401881094</v>
      </c>
      <c r="E266">
        <f t="shared" ca="1" si="21"/>
        <v>1</v>
      </c>
      <c r="F266" s="84">
        <f t="shared" si="22"/>
        <v>34</v>
      </c>
      <c r="G266">
        <v>34</v>
      </c>
      <c r="H266">
        <v>0</v>
      </c>
      <c r="I266">
        <f t="shared" si="23"/>
        <v>1</v>
      </c>
      <c r="J266">
        <f t="shared" si="24"/>
        <v>7.0282000000000005E-4</v>
      </c>
    </row>
    <row r="267" spans="4:10">
      <c r="D267">
        <f t="shared" ca="1" si="20"/>
        <v>17.401426468057938</v>
      </c>
      <c r="E267">
        <f t="shared" ca="1" si="21"/>
        <v>1</v>
      </c>
      <c r="F267" s="84">
        <f t="shared" si="22"/>
        <v>54</v>
      </c>
      <c r="G267">
        <v>54</v>
      </c>
      <c r="H267">
        <v>1</v>
      </c>
      <c r="I267">
        <f t="shared" si="23"/>
        <v>1</v>
      </c>
      <c r="J267">
        <f t="shared" si="24"/>
        <v>1.9186400000000001E-3</v>
      </c>
    </row>
    <row r="268" spans="4:10">
      <c r="D268">
        <f t="shared" ca="1" si="20"/>
        <v>54.082064182028034</v>
      </c>
      <c r="E268">
        <f t="shared" ca="1" si="21"/>
        <v>1</v>
      </c>
      <c r="F268" s="84">
        <f t="shared" si="22"/>
        <v>41</v>
      </c>
      <c r="G268">
        <v>41</v>
      </c>
      <c r="H268">
        <v>1</v>
      </c>
      <c r="I268">
        <f t="shared" si="23"/>
        <v>1</v>
      </c>
      <c r="J268">
        <f t="shared" si="24"/>
        <v>5.6607000000000001E-4</v>
      </c>
    </row>
    <row r="269" spans="4:10">
      <c r="D269">
        <f t="shared" ca="1" si="20"/>
        <v>26.375909622758975</v>
      </c>
      <c r="E269">
        <f t="shared" ca="1" si="21"/>
        <v>0</v>
      </c>
      <c r="F269" s="84">
        <f t="shared" si="22"/>
        <v>43</v>
      </c>
      <c r="G269">
        <v>43</v>
      </c>
      <c r="H269">
        <v>1</v>
      </c>
      <c r="I269">
        <f t="shared" si="23"/>
        <v>1</v>
      </c>
      <c r="J269">
        <f t="shared" si="24"/>
        <v>6.6288000000000002E-4</v>
      </c>
    </row>
    <row r="270" spans="4:10">
      <c r="D270">
        <f t="shared" ca="1" si="20"/>
        <v>17.355533592831531</v>
      </c>
      <c r="E270">
        <f t="shared" ca="1" si="21"/>
        <v>1</v>
      </c>
      <c r="F270" s="84">
        <f t="shared" si="22"/>
        <v>62</v>
      </c>
      <c r="G270">
        <v>62</v>
      </c>
      <c r="H270">
        <v>0</v>
      </c>
      <c r="I270">
        <f t="shared" si="23"/>
        <v>1</v>
      </c>
      <c r="J270">
        <f t="shared" si="24"/>
        <v>7.3471500000000002E-3</v>
      </c>
    </row>
    <row r="271" spans="4:10">
      <c r="D271">
        <f t="shared" ca="1" si="20"/>
        <v>9.3849985863477769</v>
      </c>
      <c r="E271">
        <f t="shared" ca="1" si="21"/>
        <v>1</v>
      </c>
      <c r="F271" s="84">
        <f t="shared" si="22"/>
        <v>42</v>
      </c>
      <c r="G271">
        <v>42</v>
      </c>
      <c r="H271">
        <v>1</v>
      </c>
      <c r="I271">
        <f t="shared" si="23"/>
        <v>1</v>
      </c>
      <c r="J271">
        <f t="shared" si="24"/>
        <v>6.1160999999999995E-4</v>
      </c>
    </row>
    <row r="272" spans="4:10">
      <c r="D272">
        <f t="shared" ca="1" si="20"/>
        <v>32.607290756120292</v>
      </c>
      <c r="E272">
        <f t="shared" ca="1" si="21"/>
        <v>1</v>
      </c>
      <c r="F272" s="84">
        <f t="shared" si="22"/>
        <v>41</v>
      </c>
      <c r="G272">
        <v>41</v>
      </c>
      <c r="H272">
        <v>1</v>
      </c>
      <c r="I272">
        <f t="shared" si="23"/>
        <v>1</v>
      </c>
      <c r="J272">
        <f t="shared" si="24"/>
        <v>5.6607000000000001E-4</v>
      </c>
    </row>
    <row r="273" spans="4:10">
      <c r="D273">
        <f t="shared" ca="1" si="20"/>
        <v>36.370793268185487</v>
      </c>
      <c r="E273">
        <f t="shared" ca="1" si="21"/>
        <v>1</v>
      </c>
      <c r="F273" s="84">
        <f t="shared" si="22"/>
        <v>64</v>
      </c>
      <c r="G273">
        <v>64</v>
      </c>
      <c r="H273">
        <v>1</v>
      </c>
      <c r="I273">
        <f t="shared" si="23"/>
        <v>1</v>
      </c>
      <c r="J273">
        <f t="shared" si="24"/>
        <v>4.06529E-3</v>
      </c>
    </row>
    <row r="274" spans="4:10">
      <c r="D274">
        <f t="shared" ca="1" si="20"/>
        <v>54.643827090971087</v>
      </c>
      <c r="E274">
        <f t="shared" ca="1" si="21"/>
        <v>1</v>
      </c>
      <c r="F274" s="84">
        <f t="shared" si="22"/>
        <v>46</v>
      </c>
      <c r="G274">
        <v>46</v>
      </c>
      <c r="H274">
        <v>0</v>
      </c>
      <c r="I274">
        <f t="shared" si="23"/>
        <v>1</v>
      </c>
      <c r="J274">
        <f t="shared" si="24"/>
        <v>1.9912900000000002E-3</v>
      </c>
    </row>
    <row r="275" spans="4:10">
      <c r="D275">
        <f t="shared" ca="1" si="20"/>
        <v>44.2788814004766</v>
      </c>
      <c r="E275">
        <f t="shared" ca="1" si="21"/>
        <v>1</v>
      </c>
      <c r="F275" s="84">
        <f t="shared" si="22"/>
        <v>54</v>
      </c>
      <c r="G275">
        <v>54</v>
      </c>
      <c r="H275">
        <v>1</v>
      </c>
      <c r="I275">
        <f t="shared" si="23"/>
        <v>1</v>
      </c>
      <c r="J275">
        <f t="shared" si="24"/>
        <v>1.9186400000000001E-3</v>
      </c>
    </row>
    <row r="276" spans="4:10">
      <c r="D276">
        <f t="shared" ca="1" si="20"/>
        <v>25.148262066074714</v>
      </c>
      <c r="E276">
        <f t="shared" ca="1" si="21"/>
        <v>1</v>
      </c>
      <c r="F276" s="84">
        <f t="shared" si="22"/>
        <v>57</v>
      </c>
      <c r="G276">
        <v>57</v>
      </c>
      <c r="H276">
        <v>1</v>
      </c>
      <c r="I276">
        <f t="shared" si="23"/>
        <v>1</v>
      </c>
      <c r="J276">
        <f t="shared" si="24"/>
        <v>2.4432899999999999E-3</v>
      </c>
    </row>
    <row r="277" spans="4:10">
      <c r="D277">
        <f t="shared" ca="1" si="20"/>
        <v>42.52107610533573</v>
      </c>
      <c r="E277">
        <f t="shared" ca="1" si="21"/>
        <v>0</v>
      </c>
      <c r="F277" s="84">
        <f t="shared" si="22"/>
        <v>43</v>
      </c>
      <c r="G277">
        <v>43</v>
      </c>
      <c r="H277">
        <v>0</v>
      </c>
      <c r="I277">
        <f t="shared" si="23"/>
        <v>1</v>
      </c>
      <c r="J277">
        <f t="shared" si="24"/>
        <v>1.4137500000000001E-3</v>
      </c>
    </row>
    <row r="278" spans="4:10">
      <c r="D278">
        <f t="shared" ca="1" si="20"/>
        <v>-10.613749098618392</v>
      </c>
      <c r="E278">
        <f t="shared" ca="1" si="21"/>
        <v>1</v>
      </c>
      <c r="F278" s="84">
        <f t="shared" si="22"/>
        <v>63</v>
      </c>
      <c r="G278">
        <v>63</v>
      </c>
      <c r="H278">
        <v>1</v>
      </c>
      <c r="I278">
        <f t="shared" si="23"/>
        <v>1</v>
      </c>
      <c r="J278">
        <f t="shared" si="24"/>
        <v>3.7797199999999999E-3</v>
      </c>
    </row>
    <row r="279" spans="4:10">
      <c r="D279">
        <f t="shared" ca="1" si="20"/>
        <v>28.814291119229726</v>
      </c>
      <c r="E279">
        <f t="shared" ca="1" si="21"/>
        <v>1</v>
      </c>
      <c r="F279" s="84">
        <f t="shared" si="22"/>
        <v>21</v>
      </c>
      <c r="G279">
        <v>21</v>
      </c>
      <c r="H279">
        <v>1</v>
      </c>
      <c r="I279">
        <f t="shared" si="23"/>
        <v>1</v>
      </c>
      <c r="J279">
        <f t="shared" si="24"/>
        <v>1.8384E-4</v>
      </c>
    </row>
    <row r="280" spans="4:10">
      <c r="D280">
        <f t="shared" ca="1" si="20"/>
        <v>48.077528058572568</v>
      </c>
      <c r="E280">
        <f t="shared" ca="1" si="21"/>
        <v>1</v>
      </c>
      <c r="F280" s="84">
        <f t="shared" si="22"/>
        <v>76</v>
      </c>
      <c r="G280">
        <v>76</v>
      </c>
      <c r="H280">
        <v>1</v>
      </c>
      <c r="I280">
        <f t="shared" si="23"/>
        <v>1</v>
      </c>
      <c r="J280">
        <f t="shared" si="24"/>
        <v>1.3984959999999999E-2</v>
      </c>
    </row>
    <row r="281" spans="4:10">
      <c r="D281">
        <f t="shared" ca="1" si="20"/>
        <v>65.391111420525391</v>
      </c>
      <c r="E281">
        <f t="shared" ca="1" si="21"/>
        <v>1</v>
      </c>
      <c r="F281" s="84">
        <f t="shared" si="22"/>
        <v>24</v>
      </c>
      <c r="G281">
        <v>24</v>
      </c>
      <c r="H281">
        <v>1</v>
      </c>
      <c r="I281">
        <f t="shared" si="23"/>
        <v>1</v>
      </c>
      <c r="J281">
        <f t="shared" si="24"/>
        <v>2.5754E-4</v>
      </c>
    </row>
    <row r="282" spans="4:10">
      <c r="D282">
        <f t="shared" ca="1" si="20"/>
        <v>36.618448246659312</v>
      </c>
      <c r="E282">
        <f t="shared" ca="1" si="21"/>
        <v>1</v>
      </c>
      <c r="F282" s="84">
        <f t="shared" si="22"/>
        <v>46</v>
      </c>
      <c r="G282">
        <v>46</v>
      </c>
      <c r="H282">
        <v>1</v>
      </c>
      <c r="I282">
        <f t="shared" si="23"/>
        <v>1</v>
      </c>
      <c r="J282">
        <f t="shared" si="24"/>
        <v>8.7060000000000002E-4</v>
      </c>
    </row>
    <row r="283" spans="4:10">
      <c r="D283">
        <f t="shared" ca="1" si="20"/>
        <v>54.622219348153102</v>
      </c>
      <c r="E283">
        <f t="shared" ca="1" si="21"/>
        <v>1</v>
      </c>
      <c r="F283" s="84">
        <f t="shared" si="22"/>
        <v>29</v>
      </c>
      <c r="G283">
        <v>29</v>
      </c>
      <c r="H283">
        <v>1</v>
      </c>
      <c r="I283">
        <f t="shared" si="23"/>
        <v>1</v>
      </c>
      <c r="J283">
        <f t="shared" si="24"/>
        <v>3.1763000000000001E-4</v>
      </c>
    </row>
    <row r="284" spans="4:10">
      <c r="D284">
        <f t="shared" ca="1" si="20"/>
        <v>39.178958819710225</v>
      </c>
      <c r="E284">
        <f t="shared" ca="1" si="21"/>
        <v>1</v>
      </c>
      <c r="F284" s="84">
        <f t="shared" si="22"/>
        <v>56</v>
      </c>
      <c r="G284">
        <v>56</v>
      </c>
      <c r="H284">
        <v>1</v>
      </c>
      <c r="I284">
        <f t="shared" si="23"/>
        <v>1</v>
      </c>
      <c r="J284">
        <f t="shared" si="24"/>
        <v>2.2598000000000002E-3</v>
      </c>
    </row>
    <row r="285" spans="4:10">
      <c r="D285">
        <f t="shared" ca="1" si="20"/>
        <v>38.049990143520816</v>
      </c>
      <c r="E285">
        <f t="shared" ca="1" si="21"/>
        <v>1</v>
      </c>
      <c r="F285" s="84">
        <f t="shared" si="22"/>
        <v>35</v>
      </c>
      <c r="G285">
        <v>35</v>
      </c>
      <c r="H285">
        <v>1</v>
      </c>
      <c r="I285">
        <f t="shared" si="23"/>
        <v>1</v>
      </c>
      <c r="J285">
        <f t="shared" si="24"/>
        <v>3.5702999999999999E-4</v>
      </c>
    </row>
    <row r="286" spans="4:10">
      <c r="D286">
        <f t="shared" ca="1" si="20"/>
        <v>97.973152493102532</v>
      </c>
      <c r="E286">
        <f t="shared" ca="1" si="21"/>
        <v>1</v>
      </c>
      <c r="F286" s="84">
        <f t="shared" si="22"/>
        <v>34</v>
      </c>
      <c r="G286">
        <v>34</v>
      </c>
      <c r="H286">
        <v>1</v>
      </c>
      <c r="I286">
        <f t="shared" si="23"/>
        <v>1</v>
      </c>
      <c r="J286">
        <f t="shared" si="24"/>
        <v>3.3452999999999998E-4</v>
      </c>
    </row>
    <row r="287" spans="4:10">
      <c r="D287">
        <f t="shared" ca="1" si="20"/>
        <v>57.952368116728721</v>
      </c>
      <c r="E287">
        <f t="shared" ca="1" si="21"/>
        <v>0</v>
      </c>
      <c r="F287" s="84">
        <f t="shared" si="22"/>
        <v>57</v>
      </c>
      <c r="G287">
        <v>57</v>
      </c>
      <c r="H287">
        <v>1</v>
      </c>
      <c r="I287">
        <f t="shared" si="23"/>
        <v>1</v>
      </c>
      <c r="J287">
        <f t="shared" si="24"/>
        <v>2.4432899999999999E-3</v>
      </c>
    </row>
    <row r="288" spans="4:10">
      <c r="D288">
        <f t="shared" ca="1" si="20"/>
        <v>59.427948284175429</v>
      </c>
      <c r="E288">
        <f t="shared" ca="1" si="21"/>
        <v>1</v>
      </c>
      <c r="F288" s="84">
        <f t="shared" si="22"/>
        <v>51</v>
      </c>
      <c r="G288">
        <v>51</v>
      </c>
      <c r="H288">
        <v>1</v>
      </c>
      <c r="I288">
        <f t="shared" si="23"/>
        <v>1</v>
      </c>
      <c r="J288">
        <f t="shared" si="24"/>
        <v>1.4570900000000001E-3</v>
      </c>
    </row>
    <row r="289" spans="4:10">
      <c r="D289">
        <f t="shared" ca="1" si="20"/>
        <v>45.821537371208628</v>
      </c>
      <c r="E289">
        <f t="shared" ca="1" si="21"/>
        <v>1</v>
      </c>
      <c r="F289" s="84">
        <f t="shared" si="22"/>
        <v>67</v>
      </c>
      <c r="G289">
        <v>67</v>
      </c>
      <c r="H289">
        <v>1</v>
      </c>
      <c r="I289">
        <f t="shared" si="23"/>
        <v>1</v>
      </c>
      <c r="J289">
        <f t="shared" si="24"/>
        <v>5.09392E-3</v>
      </c>
    </row>
    <row r="290" spans="4:10">
      <c r="D290">
        <f t="shared" ca="1" si="20"/>
        <v>43.379138725422813</v>
      </c>
      <c r="E290">
        <f t="shared" ca="1" si="21"/>
        <v>1</v>
      </c>
      <c r="F290" s="84">
        <f t="shared" si="22"/>
        <v>59</v>
      </c>
      <c r="G290">
        <v>59</v>
      </c>
      <c r="H290">
        <v>1</v>
      </c>
      <c r="I290">
        <f t="shared" si="23"/>
        <v>1</v>
      </c>
      <c r="J290">
        <f t="shared" si="24"/>
        <v>2.84666E-3</v>
      </c>
    </row>
    <row r="291" spans="4:10">
      <c r="D291">
        <f t="shared" ca="1" si="20"/>
        <v>53.620652627705638</v>
      </c>
      <c r="E291">
        <f t="shared" ca="1" si="21"/>
        <v>1</v>
      </c>
      <c r="F291" s="84">
        <f t="shared" si="22"/>
        <v>34</v>
      </c>
      <c r="G291">
        <v>34</v>
      </c>
      <c r="H291">
        <v>1</v>
      </c>
      <c r="I291">
        <f t="shared" si="23"/>
        <v>1</v>
      </c>
      <c r="J291">
        <f t="shared" si="24"/>
        <v>3.3452999999999998E-4</v>
      </c>
    </row>
    <row r="292" spans="4:10">
      <c r="D292">
        <f t="shared" ca="1" si="20"/>
        <v>18.641725625094175</v>
      </c>
      <c r="E292">
        <f t="shared" ca="1" si="21"/>
        <v>1</v>
      </c>
      <c r="F292" s="84">
        <f t="shared" si="22"/>
        <v>19</v>
      </c>
      <c r="G292">
        <v>19</v>
      </c>
      <c r="H292">
        <v>1</v>
      </c>
      <c r="I292">
        <f t="shared" si="23"/>
        <v>1</v>
      </c>
      <c r="J292">
        <f t="shared" si="24"/>
        <v>1.5410000000000001E-4</v>
      </c>
    </row>
    <row r="293" spans="4:10">
      <c r="D293">
        <f t="shared" ca="1" si="20"/>
        <v>30.846939010172022</v>
      </c>
      <c r="E293">
        <f t="shared" ca="1" si="21"/>
        <v>1</v>
      </c>
      <c r="F293" s="84">
        <f t="shared" si="22"/>
        <v>55</v>
      </c>
      <c r="G293">
        <v>55</v>
      </c>
      <c r="H293">
        <v>1</v>
      </c>
      <c r="I293">
        <f t="shared" si="23"/>
        <v>1</v>
      </c>
      <c r="J293">
        <f t="shared" si="24"/>
        <v>2.0857200000000001E-3</v>
      </c>
    </row>
    <row r="294" spans="4:10">
      <c r="D294">
        <f t="shared" ca="1" si="20"/>
        <v>57.497085203043227</v>
      </c>
      <c r="E294">
        <f t="shared" ca="1" si="21"/>
        <v>1</v>
      </c>
      <c r="F294" s="84">
        <f t="shared" si="22"/>
        <v>70</v>
      </c>
      <c r="G294">
        <v>70</v>
      </c>
      <c r="H294">
        <v>1</v>
      </c>
      <c r="I294">
        <f t="shared" si="23"/>
        <v>1</v>
      </c>
      <c r="J294">
        <f t="shared" si="24"/>
        <v>6.7203999999999996E-3</v>
      </c>
    </row>
    <row r="295" spans="4:10">
      <c r="D295">
        <f t="shared" ca="1" si="20"/>
        <v>68.199501540748898</v>
      </c>
      <c r="E295">
        <f t="shared" ca="1" si="21"/>
        <v>1</v>
      </c>
      <c r="F295" s="84">
        <f t="shared" si="22"/>
        <v>59</v>
      </c>
      <c r="G295">
        <v>59</v>
      </c>
      <c r="H295">
        <v>1</v>
      </c>
      <c r="I295">
        <f t="shared" si="23"/>
        <v>1</v>
      </c>
      <c r="J295">
        <f t="shared" si="24"/>
        <v>2.84666E-3</v>
      </c>
    </row>
    <row r="296" spans="4:10">
      <c r="D296">
        <f t="shared" ca="1" si="20"/>
        <v>38.437714770134477</v>
      </c>
      <c r="E296">
        <f t="shared" ca="1" si="21"/>
        <v>1</v>
      </c>
      <c r="F296" s="84">
        <f t="shared" si="22"/>
        <v>45</v>
      </c>
      <c r="G296">
        <v>45</v>
      </c>
      <c r="H296">
        <v>1</v>
      </c>
      <c r="I296">
        <f t="shared" si="23"/>
        <v>1</v>
      </c>
      <c r="J296">
        <f t="shared" si="24"/>
        <v>7.9022999999999995E-4</v>
      </c>
    </row>
    <row r="297" spans="4:10">
      <c r="D297">
        <f t="shared" ca="1" si="20"/>
        <v>53.656540657141761</v>
      </c>
      <c r="E297">
        <f t="shared" ca="1" si="21"/>
        <v>0</v>
      </c>
      <c r="F297" s="84">
        <f t="shared" si="22"/>
        <v>52</v>
      </c>
      <c r="G297">
        <v>52</v>
      </c>
      <c r="H297">
        <v>1</v>
      </c>
      <c r="I297">
        <f t="shared" si="23"/>
        <v>1</v>
      </c>
      <c r="J297">
        <f t="shared" si="24"/>
        <v>1.60396E-3</v>
      </c>
    </row>
    <row r="298" spans="4:10">
      <c r="D298">
        <f t="shared" ca="1" si="20"/>
        <v>55.703276744016492</v>
      </c>
      <c r="E298">
        <f t="shared" ca="1" si="21"/>
        <v>0</v>
      </c>
      <c r="F298" s="84">
        <f t="shared" si="22"/>
        <v>66</v>
      </c>
      <c r="G298">
        <v>66</v>
      </c>
      <c r="H298">
        <v>1</v>
      </c>
      <c r="I298">
        <f t="shared" si="23"/>
        <v>1</v>
      </c>
      <c r="J298">
        <f t="shared" si="24"/>
        <v>4.7119800000000002E-3</v>
      </c>
    </row>
    <row r="299" spans="4:10">
      <c r="D299">
        <f t="shared" ca="1" si="20"/>
        <v>54.069358166426731</v>
      </c>
      <c r="E299">
        <f t="shared" ca="1" si="21"/>
        <v>1</v>
      </c>
      <c r="F299" s="84">
        <f t="shared" si="22"/>
        <v>4</v>
      </c>
      <c r="G299">
        <v>4</v>
      </c>
      <c r="H299">
        <v>1</v>
      </c>
      <c r="I299">
        <f t="shared" si="23"/>
        <v>0</v>
      </c>
      <c r="J299">
        <f t="shared" si="24"/>
        <v>9.6349999999999997E-5</v>
      </c>
    </row>
    <row r="300" spans="4:10">
      <c r="D300">
        <f t="shared" ca="1" si="20"/>
        <v>70.063172160378144</v>
      </c>
      <c r="E300">
        <f t="shared" ca="1" si="21"/>
        <v>0</v>
      </c>
      <c r="F300" s="84">
        <f t="shared" si="22"/>
        <v>44</v>
      </c>
      <c r="G300">
        <v>44</v>
      </c>
      <c r="H300">
        <v>1</v>
      </c>
      <c r="I300">
        <f t="shared" si="23"/>
        <v>1</v>
      </c>
      <c r="J300">
        <f t="shared" si="24"/>
        <v>7.2154999999999995E-4</v>
      </c>
    </row>
    <row r="301" spans="4:10">
      <c r="D301">
        <f t="shared" ca="1" si="20"/>
        <v>35.043369445656744</v>
      </c>
      <c r="E301">
        <f t="shared" ca="1" si="21"/>
        <v>1</v>
      </c>
      <c r="F301" s="84">
        <f t="shared" si="22"/>
        <v>42</v>
      </c>
      <c r="G301">
        <v>42</v>
      </c>
      <c r="H301">
        <v>0</v>
      </c>
      <c r="I301">
        <f t="shared" si="23"/>
        <v>1</v>
      </c>
      <c r="J301">
        <f t="shared" si="24"/>
        <v>1.2642700000000001E-3</v>
      </c>
    </row>
    <row r="302" spans="4:10">
      <c r="D302">
        <f t="shared" ca="1" si="20"/>
        <v>14.730028138029077</v>
      </c>
      <c r="E302">
        <f t="shared" ca="1" si="21"/>
        <v>1</v>
      </c>
      <c r="F302" s="84">
        <f t="shared" si="22"/>
        <v>59</v>
      </c>
      <c r="G302">
        <v>59</v>
      </c>
      <c r="H302">
        <v>1</v>
      </c>
      <c r="I302">
        <f t="shared" si="23"/>
        <v>1</v>
      </c>
      <c r="J302">
        <f t="shared" si="24"/>
        <v>2.84666E-3</v>
      </c>
    </row>
    <row r="303" spans="4:10">
      <c r="D303">
        <f t="shared" ca="1" si="20"/>
        <v>41.292850540984027</v>
      </c>
      <c r="E303">
        <f t="shared" ca="1" si="21"/>
        <v>1</v>
      </c>
      <c r="F303" s="84">
        <f t="shared" si="22"/>
        <v>36</v>
      </c>
      <c r="G303">
        <v>36</v>
      </c>
      <c r="H303">
        <v>1</v>
      </c>
      <c r="I303">
        <f t="shared" si="23"/>
        <v>1</v>
      </c>
      <c r="J303">
        <f t="shared" si="24"/>
        <v>3.8510999999999998E-4</v>
      </c>
    </row>
    <row r="304" spans="4:10">
      <c r="D304">
        <f t="shared" ca="1" si="20"/>
        <v>76.269929241379174</v>
      </c>
      <c r="E304">
        <f t="shared" ca="1" si="21"/>
        <v>0</v>
      </c>
      <c r="F304" s="84">
        <f t="shared" si="22"/>
        <v>60</v>
      </c>
      <c r="G304">
        <v>60</v>
      </c>
      <c r="H304">
        <v>0</v>
      </c>
      <c r="I304">
        <f t="shared" si="23"/>
        <v>1</v>
      </c>
      <c r="J304">
        <f t="shared" si="24"/>
        <v>6.1923100000000003E-3</v>
      </c>
    </row>
    <row r="305" spans="4:10">
      <c r="D305">
        <f t="shared" ca="1" si="20"/>
        <v>71.329062560662621</v>
      </c>
      <c r="E305">
        <f t="shared" ca="1" si="21"/>
        <v>1</v>
      </c>
      <c r="F305" s="84">
        <f t="shared" si="22"/>
        <v>61</v>
      </c>
      <c r="G305">
        <v>61</v>
      </c>
      <c r="H305">
        <v>1</v>
      </c>
      <c r="I305">
        <f t="shared" si="23"/>
        <v>1</v>
      </c>
      <c r="J305">
        <f t="shared" si="24"/>
        <v>3.2876200000000002E-3</v>
      </c>
    </row>
    <row r="306" spans="4:10">
      <c r="D306">
        <f t="shared" ca="1" si="20"/>
        <v>79.583173187212864</v>
      </c>
      <c r="E306">
        <f t="shared" ca="1" si="21"/>
        <v>1</v>
      </c>
      <c r="F306" s="84">
        <f t="shared" si="22"/>
        <v>40</v>
      </c>
      <c r="G306">
        <v>40</v>
      </c>
      <c r="H306">
        <v>0</v>
      </c>
      <c r="I306">
        <f t="shared" si="23"/>
        <v>1</v>
      </c>
      <c r="J306">
        <f t="shared" si="24"/>
        <v>1.0347399999999999E-3</v>
      </c>
    </row>
    <row r="307" spans="4:10">
      <c r="D307">
        <f t="shared" ca="1" si="20"/>
        <v>53.964101167165843</v>
      </c>
      <c r="E307">
        <f t="shared" ca="1" si="21"/>
        <v>1</v>
      </c>
      <c r="F307" s="84">
        <f t="shared" si="22"/>
        <v>49</v>
      </c>
      <c r="G307">
        <v>49</v>
      </c>
      <c r="H307">
        <v>1</v>
      </c>
      <c r="I307">
        <f t="shared" si="23"/>
        <v>1</v>
      </c>
      <c r="J307">
        <f t="shared" si="24"/>
        <v>1.1877400000000001E-3</v>
      </c>
    </row>
    <row r="308" spans="4:10">
      <c r="D308">
        <f t="shared" ca="1" si="20"/>
        <v>39.659146740943797</v>
      </c>
      <c r="E308">
        <f t="shared" ca="1" si="21"/>
        <v>1</v>
      </c>
      <c r="F308" s="84">
        <f t="shared" si="22"/>
        <v>62</v>
      </c>
      <c r="G308">
        <v>62</v>
      </c>
      <c r="H308">
        <v>1</v>
      </c>
      <c r="I308">
        <f t="shared" si="23"/>
        <v>1</v>
      </c>
      <c r="J308">
        <f t="shared" si="24"/>
        <v>3.5238499999999998E-3</v>
      </c>
    </row>
    <row r="309" spans="4:10">
      <c r="D309">
        <f t="shared" ca="1" si="20"/>
        <v>45.515658676148611</v>
      </c>
      <c r="E309">
        <f t="shared" ca="1" si="21"/>
        <v>0</v>
      </c>
      <c r="F309" s="84">
        <f t="shared" si="22"/>
        <v>62</v>
      </c>
      <c r="G309">
        <v>62</v>
      </c>
      <c r="H309">
        <v>0</v>
      </c>
      <c r="I309">
        <f t="shared" si="23"/>
        <v>1</v>
      </c>
      <c r="J309">
        <f t="shared" si="24"/>
        <v>7.3471500000000002E-3</v>
      </c>
    </row>
    <row r="310" spans="4:10">
      <c r="D310">
        <f t="shared" ca="1" si="20"/>
        <v>47.817896954951145</v>
      </c>
      <c r="E310">
        <f t="shared" ca="1" si="21"/>
        <v>0</v>
      </c>
      <c r="F310" s="84">
        <f t="shared" si="22"/>
        <v>12</v>
      </c>
      <c r="G310">
        <v>12</v>
      </c>
      <c r="H310">
        <v>1</v>
      </c>
      <c r="I310">
        <f t="shared" si="23"/>
        <v>0</v>
      </c>
      <c r="J310">
        <f t="shared" si="24"/>
        <v>1.2228E-4</v>
      </c>
    </row>
    <row r="311" spans="4:10">
      <c r="D311">
        <f t="shared" ca="1" si="20"/>
        <v>29.58722902017076</v>
      </c>
      <c r="E311">
        <f t="shared" ca="1" si="21"/>
        <v>1</v>
      </c>
      <c r="F311" s="84">
        <f t="shared" si="22"/>
        <v>73</v>
      </c>
      <c r="G311">
        <v>73</v>
      </c>
      <c r="H311">
        <v>0</v>
      </c>
      <c r="I311">
        <f t="shared" si="23"/>
        <v>1</v>
      </c>
      <c r="J311">
        <f t="shared" si="24"/>
        <v>1.968131E-2</v>
      </c>
    </row>
    <row r="312" spans="4:10">
      <c r="D312">
        <f t="shared" ca="1" si="20"/>
        <v>61.875788005035446</v>
      </c>
      <c r="E312">
        <f t="shared" ca="1" si="21"/>
        <v>1</v>
      </c>
      <c r="F312" s="84">
        <f t="shared" si="22"/>
        <v>79</v>
      </c>
      <c r="G312">
        <v>79</v>
      </c>
      <c r="H312">
        <v>1</v>
      </c>
      <c r="I312">
        <f t="shared" si="23"/>
        <v>1</v>
      </c>
      <c r="J312">
        <f t="shared" si="24"/>
        <v>2.1235899999999999E-2</v>
      </c>
    </row>
    <row r="313" spans="4:10">
      <c r="D313">
        <f t="shared" ca="1" si="20"/>
        <v>37.001390813255412</v>
      </c>
      <c r="E313">
        <f t="shared" ca="1" si="21"/>
        <v>1</v>
      </c>
      <c r="F313" s="84">
        <f t="shared" si="22"/>
        <v>65</v>
      </c>
      <c r="G313">
        <v>65</v>
      </c>
      <c r="H313">
        <v>1</v>
      </c>
      <c r="I313">
        <f t="shared" si="23"/>
        <v>1</v>
      </c>
      <c r="J313">
        <f t="shared" si="24"/>
        <v>4.3744200000000004E-3</v>
      </c>
    </row>
    <row r="314" spans="4:10">
      <c r="D314">
        <f t="shared" ca="1" si="20"/>
        <v>36.937705894454865</v>
      </c>
      <c r="E314">
        <f t="shared" ca="1" si="21"/>
        <v>1</v>
      </c>
      <c r="F314" s="84">
        <f t="shared" si="22"/>
        <v>49</v>
      </c>
      <c r="G314">
        <v>49</v>
      </c>
      <c r="H314">
        <v>1</v>
      </c>
      <c r="I314">
        <f t="shared" si="23"/>
        <v>1</v>
      </c>
      <c r="J314">
        <f t="shared" si="24"/>
        <v>1.1877400000000001E-3</v>
      </c>
    </row>
    <row r="315" spans="4:10">
      <c r="D315">
        <f t="shared" ca="1" si="20"/>
        <v>24.716302103247578</v>
      </c>
      <c r="E315">
        <f t="shared" ca="1" si="21"/>
        <v>1</v>
      </c>
      <c r="F315" s="84">
        <f t="shared" si="22"/>
        <v>34</v>
      </c>
      <c r="G315">
        <v>34</v>
      </c>
      <c r="H315">
        <v>1</v>
      </c>
      <c r="I315">
        <f t="shared" si="23"/>
        <v>1</v>
      </c>
      <c r="J315">
        <f t="shared" si="24"/>
        <v>3.3452999999999998E-4</v>
      </c>
    </row>
    <row r="316" spans="4:10">
      <c r="D316">
        <f t="shared" ca="1" si="20"/>
        <v>31.173144485493538</v>
      </c>
      <c r="E316">
        <f t="shared" ca="1" si="21"/>
        <v>0</v>
      </c>
      <c r="F316" s="84">
        <f t="shared" si="22"/>
        <v>12</v>
      </c>
      <c r="G316">
        <v>12</v>
      </c>
      <c r="H316">
        <v>1</v>
      </c>
      <c r="I316">
        <f t="shared" si="23"/>
        <v>0</v>
      </c>
      <c r="J316">
        <f t="shared" si="24"/>
        <v>1.2228E-4</v>
      </c>
    </row>
    <row r="317" spans="4:10">
      <c r="D317">
        <f t="shared" ca="1" si="20"/>
        <v>56.665851980981941</v>
      </c>
      <c r="E317">
        <f t="shared" ca="1" si="21"/>
        <v>1</v>
      </c>
      <c r="F317" s="84">
        <f t="shared" si="22"/>
        <v>58</v>
      </c>
      <c r="G317">
        <v>58</v>
      </c>
      <c r="H317">
        <v>1</v>
      </c>
      <c r="I317">
        <f t="shared" si="23"/>
        <v>1</v>
      </c>
      <c r="J317">
        <f t="shared" si="24"/>
        <v>2.63817E-3</v>
      </c>
    </row>
    <row r="318" spans="4:10">
      <c r="D318">
        <f t="shared" ca="1" si="20"/>
        <v>28.630285522232366</v>
      </c>
      <c r="E318">
        <f t="shared" ca="1" si="21"/>
        <v>0</v>
      </c>
      <c r="F318" s="84">
        <f t="shared" si="22"/>
        <v>26</v>
      </c>
      <c r="G318">
        <v>26</v>
      </c>
      <c r="H318">
        <v>0</v>
      </c>
      <c r="I318">
        <f t="shared" si="23"/>
        <v>1</v>
      </c>
      <c r="J318">
        <f t="shared" si="24"/>
        <v>4.0611E-4</v>
      </c>
    </row>
    <row r="319" spans="4:10">
      <c r="D319">
        <f t="shared" ca="1" si="20"/>
        <v>43.114202745835541</v>
      </c>
      <c r="E319">
        <f t="shared" ca="1" si="21"/>
        <v>1</v>
      </c>
      <c r="F319" s="84">
        <f t="shared" si="22"/>
        <v>53</v>
      </c>
      <c r="G319">
        <v>53</v>
      </c>
      <c r="H319">
        <v>1</v>
      </c>
      <c r="I319">
        <f t="shared" si="23"/>
        <v>1</v>
      </c>
      <c r="J319">
        <f t="shared" si="24"/>
        <v>1.7577700000000001E-3</v>
      </c>
    </row>
    <row r="320" spans="4:10">
      <c r="D320">
        <f t="shared" ca="1" si="20"/>
        <v>62.488231895854589</v>
      </c>
      <c r="E320">
        <f t="shared" ca="1" si="21"/>
        <v>1</v>
      </c>
      <c r="F320" s="84">
        <f t="shared" si="22"/>
        <v>25</v>
      </c>
      <c r="G320">
        <v>25</v>
      </c>
      <c r="H320">
        <v>0</v>
      </c>
      <c r="I320">
        <f t="shared" si="23"/>
        <v>1</v>
      </c>
      <c r="J320">
        <f t="shared" si="24"/>
        <v>3.6846999999999997E-4</v>
      </c>
    </row>
    <row r="321" spans="4:10">
      <c r="D321">
        <f t="shared" ca="1" si="20"/>
        <v>28.188355624786055</v>
      </c>
      <c r="E321">
        <f t="shared" ca="1" si="21"/>
        <v>0</v>
      </c>
      <c r="F321" s="84">
        <f t="shared" si="22"/>
        <v>0</v>
      </c>
      <c r="G321">
        <v>0</v>
      </c>
      <c r="H321">
        <v>0</v>
      </c>
      <c r="I321">
        <f t="shared" si="23"/>
        <v>0</v>
      </c>
      <c r="J321">
        <f t="shared" si="24"/>
        <v>1.4987500000000001E-3</v>
      </c>
    </row>
    <row r="322" spans="4:10">
      <c r="D322">
        <f t="shared" ref="D322:D385" ca="1" si="25">NORMINV(RAND(), mean_age, sd_age)</f>
        <v>40.138718797325588</v>
      </c>
      <c r="E322">
        <f t="shared" ref="E322:E385" ca="1" si="26">_xlfn.BINOM.INV(1, prop_female, RAND())</f>
        <v>1</v>
      </c>
      <c r="F322" s="84">
        <f t="shared" ref="F322:F385" si="27">ROUND(G322,0)</f>
        <v>72</v>
      </c>
      <c r="G322">
        <v>72</v>
      </c>
      <c r="H322">
        <v>1</v>
      </c>
      <c r="I322">
        <f t="shared" ref="I322:I385" si="28">IF(G322&lt;18, 0, 1)</f>
        <v>1</v>
      </c>
      <c r="J322">
        <f t="shared" ref="J322:J385" si="29">IF(H322=0,VLOOKUP(G322,$M$2:$O$102,2,TRUE),VLOOKUP(G322,$M$2:$O$102,3,TRUE))</f>
        <v>8.34792E-3</v>
      </c>
    </row>
    <row r="323" spans="4:10">
      <c r="D323">
        <f t="shared" ca="1" si="25"/>
        <v>68.371871440134441</v>
      </c>
      <c r="E323">
        <f t="shared" ca="1" si="26"/>
        <v>1</v>
      </c>
      <c r="F323" s="84">
        <f t="shared" si="27"/>
        <v>54</v>
      </c>
      <c r="G323">
        <v>54</v>
      </c>
      <c r="H323">
        <v>1</v>
      </c>
      <c r="I323">
        <f t="shared" si="28"/>
        <v>1</v>
      </c>
      <c r="J323">
        <f t="shared" si="29"/>
        <v>1.9186400000000001E-3</v>
      </c>
    </row>
    <row r="324" spans="4:10">
      <c r="D324">
        <f t="shared" ca="1" si="25"/>
        <v>39.021681958373847</v>
      </c>
      <c r="E324">
        <f t="shared" ca="1" si="26"/>
        <v>1</v>
      </c>
      <c r="F324" s="84">
        <f t="shared" si="27"/>
        <v>26</v>
      </c>
      <c r="G324">
        <v>26</v>
      </c>
      <c r="H324">
        <v>1</v>
      </c>
      <c r="I324">
        <f t="shared" si="28"/>
        <v>1</v>
      </c>
      <c r="J324">
        <f t="shared" si="29"/>
        <v>3.0111E-4</v>
      </c>
    </row>
    <row r="325" spans="4:10">
      <c r="D325">
        <f t="shared" ca="1" si="25"/>
        <v>45.455850838770161</v>
      </c>
      <c r="E325">
        <f t="shared" ca="1" si="26"/>
        <v>1</v>
      </c>
      <c r="F325" s="84">
        <f t="shared" si="27"/>
        <v>51</v>
      </c>
      <c r="G325">
        <v>51</v>
      </c>
      <c r="H325">
        <v>1</v>
      </c>
      <c r="I325">
        <f t="shared" si="28"/>
        <v>1</v>
      </c>
      <c r="J325">
        <f t="shared" si="29"/>
        <v>1.4570900000000001E-3</v>
      </c>
    </row>
    <row r="326" spans="4:10">
      <c r="D326">
        <f t="shared" ca="1" si="25"/>
        <v>42.611829164881144</v>
      </c>
      <c r="E326">
        <f t="shared" ca="1" si="26"/>
        <v>1</v>
      </c>
      <c r="F326" s="84">
        <f t="shared" si="27"/>
        <v>53</v>
      </c>
      <c r="G326">
        <v>53</v>
      </c>
      <c r="H326">
        <v>1</v>
      </c>
      <c r="I326">
        <f t="shared" si="28"/>
        <v>1</v>
      </c>
      <c r="J326">
        <f t="shared" si="29"/>
        <v>1.7577700000000001E-3</v>
      </c>
    </row>
    <row r="327" spans="4:10">
      <c r="D327">
        <f t="shared" ca="1" si="25"/>
        <v>46.270542346237683</v>
      </c>
      <c r="E327">
        <f t="shared" ca="1" si="26"/>
        <v>1</v>
      </c>
      <c r="F327" s="84">
        <f t="shared" si="27"/>
        <v>19</v>
      </c>
      <c r="G327">
        <v>19</v>
      </c>
      <c r="H327">
        <v>1</v>
      </c>
      <c r="I327">
        <f t="shared" si="28"/>
        <v>1</v>
      </c>
      <c r="J327">
        <f t="shared" si="29"/>
        <v>1.5410000000000001E-4</v>
      </c>
    </row>
    <row r="328" spans="4:10">
      <c r="D328">
        <f t="shared" ca="1" si="25"/>
        <v>46.71177653227862</v>
      </c>
      <c r="E328">
        <f t="shared" ca="1" si="26"/>
        <v>1</v>
      </c>
      <c r="F328" s="84">
        <f t="shared" si="27"/>
        <v>33</v>
      </c>
      <c r="G328">
        <v>33</v>
      </c>
      <c r="H328">
        <v>1</v>
      </c>
      <c r="I328">
        <f t="shared" si="28"/>
        <v>1</v>
      </c>
      <c r="J328">
        <f t="shared" si="29"/>
        <v>3.1915999999999997E-4</v>
      </c>
    </row>
    <row r="329" spans="4:10">
      <c r="D329">
        <f t="shared" ca="1" si="25"/>
        <v>57.254213599300449</v>
      </c>
      <c r="E329">
        <f t="shared" ca="1" si="26"/>
        <v>1</v>
      </c>
      <c r="F329" s="84">
        <f t="shared" si="27"/>
        <v>67</v>
      </c>
      <c r="G329">
        <v>67</v>
      </c>
      <c r="H329">
        <v>1</v>
      </c>
      <c r="I329">
        <f t="shared" si="28"/>
        <v>1</v>
      </c>
      <c r="J329">
        <f t="shared" si="29"/>
        <v>5.09392E-3</v>
      </c>
    </row>
    <row r="330" spans="4:10">
      <c r="D330">
        <f t="shared" ca="1" si="25"/>
        <v>42.034017893054589</v>
      </c>
      <c r="E330">
        <f t="shared" ca="1" si="26"/>
        <v>1</v>
      </c>
      <c r="F330" s="84">
        <f t="shared" si="27"/>
        <v>32</v>
      </c>
      <c r="G330">
        <v>32</v>
      </c>
      <c r="H330">
        <v>0</v>
      </c>
      <c r="I330">
        <f t="shared" si="28"/>
        <v>1</v>
      </c>
      <c r="J330">
        <f t="shared" si="29"/>
        <v>6.2838E-4</v>
      </c>
    </row>
    <row r="331" spans="4:10">
      <c r="D331">
        <f t="shared" ca="1" si="25"/>
        <v>15.876216477120494</v>
      </c>
      <c r="E331">
        <f t="shared" ca="1" si="26"/>
        <v>1</v>
      </c>
      <c r="F331" s="84">
        <f t="shared" si="27"/>
        <v>58</v>
      </c>
      <c r="G331">
        <v>58</v>
      </c>
      <c r="H331">
        <v>1</v>
      </c>
      <c r="I331">
        <f t="shared" si="28"/>
        <v>1</v>
      </c>
      <c r="J331">
        <f t="shared" si="29"/>
        <v>2.63817E-3</v>
      </c>
    </row>
    <row r="332" spans="4:10">
      <c r="D332">
        <f t="shared" ca="1" si="25"/>
        <v>45.228703930358428</v>
      </c>
      <c r="E332">
        <f t="shared" ca="1" si="26"/>
        <v>0</v>
      </c>
      <c r="F332" s="84">
        <f t="shared" si="27"/>
        <v>26</v>
      </c>
      <c r="G332">
        <v>26</v>
      </c>
      <c r="H332">
        <v>1</v>
      </c>
      <c r="I332">
        <f t="shared" si="28"/>
        <v>1</v>
      </c>
      <c r="J332">
        <f t="shared" si="29"/>
        <v>3.0111E-4</v>
      </c>
    </row>
    <row r="333" spans="4:10">
      <c r="D333">
        <f t="shared" ca="1" si="25"/>
        <v>21.616575563195646</v>
      </c>
      <c r="E333">
        <f t="shared" ca="1" si="26"/>
        <v>1</v>
      </c>
      <c r="F333" s="84">
        <f t="shared" si="27"/>
        <v>15</v>
      </c>
      <c r="G333">
        <v>15</v>
      </c>
      <c r="H333">
        <v>1</v>
      </c>
      <c r="I333">
        <f t="shared" si="28"/>
        <v>0</v>
      </c>
      <c r="J333">
        <f t="shared" si="29"/>
        <v>1.3402999999999999E-4</v>
      </c>
    </row>
    <row r="334" spans="4:10">
      <c r="D334">
        <f t="shared" ca="1" si="25"/>
        <v>46.49497117852416</v>
      </c>
      <c r="E334">
        <f t="shared" ca="1" si="26"/>
        <v>1</v>
      </c>
      <c r="F334" s="84">
        <f t="shared" si="27"/>
        <v>32</v>
      </c>
      <c r="G334">
        <v>32</v>
      </c>
      <c r="H334">
        <v>1</v>
      </c>
      <c r="I334">
        <f t="shared" si="28"/>
        <v>1</v>
      </c>
      <c r="J334">
        <f t="shared" si="29"/>
        <v>3.1137E-4</v>
      </c>
    </row>
    <row r="335" spans="4:10">
      <c r="D335">
        <f t="shared" ca="1" si="25"/>
        <v>82.364470595202675</v>
      </c>
      <c r="E335">
        <f t="shared" ca="1" si="26"/>
        <v>1</v>
      </c>
      <c r="F335" s="84">
        <f t="shared" si="27"/>
        <v>67</v>
      </c>
      <c r="G335">
        <v>67</v>
      </c>
      <c r="H335">
        <v>1</v>
      </c>
      <c r="I335">
        <f t="shared" si="28"/>
        <v>1</v>
      </c>
      <c r="J335">
        <f t="shared" si="29"/>
        <v>5.09392E-3</v>
      </c>
    </row>
    <row r="336" spans="4:10">
      <c r="D336">
        <f t="shared" ca="1" si="25"/>
        <v>27.001790548906456</v>
      </c>
      <c r="E336">
        <f t="shared" ca="1" si="26"/>
        <v>1</v>
      </c>
      <c r="F336" s="84">
        <f t="shared" si="27"/>
        <v>38</v>
      </c>
      <c r="G336">
        <v>38</v>
      </c>
      <c r="H336">
        <v>0</v>
      </c>
      <c r="I336">
        <f t="shared" si="28"/>
        <v>1</v>
      </c>
      <c r="J336">
        <f t="shared" si="29"/>
        <v>8.8648999999999998E-4</v>
      </c>
    </row>
    <row r="337" spans="4:10">
      <c r="D337">
        <f t="shared" ca="1" si="25"/>
        <v>26.784572809827502</v>
      </c>
      <c r="E337">
        <f t="shared" ca="1" si="26"/>
        <v>1</v>
      </c>
      <c r="F337" s="84">
        <f t="shared" si="27"/>
        <v>0</v>
      </c>
      <c r="G337">
        <v>0</v>
      </c>
      <c r="H337">
        <v>0</v>
      </c>
      <c r="I337">
        <f t="shared" si="28"/>
        <v>0</v>
      </c>
      <c r="J337">
        <f t="shared" si="29"/>
        <v>1.4987500000000001E-3</v>
      </c>
    </row>
    <row r="338" spans="4:10">
      <c r="D338">
        <f t="shared" ca="1" si="25"/>
        <v>39.834062912445354</v>
      </c>
      <c r="E338">
        <f t="shared" ca="1" si="26"/>
        <v>1</v>
      </c>
      <c r="F338" s="84">
        <f t="shared" si="27"/>
        <v>31</v>
      </c>
      <c r="G338">
        <v>31</v>
      </c>
      <c r="H338">
        <v>0</v>
      </c>
      <c r="I338">
        <f t="shared" si="28"/>
        <v>1</v>
      </c>
      <c r="J338">
        <f t="shared" si="29"/>
        <v>5.9367000000000003E-4</v>
      </c>
    </row>
    <row r="339" spans="4:10">
      <c r="D339">
        <f t="shared" ca="1" si="25"/>
        <v>57.787990370236088</v>
      </c>
      <c r="E339">
        <f t="shared" ca="1" si="26"/>
        <v>1</v>
      </c>
      <c r="F339" s="84">
        <f t="shared" si="27"/>
        <v>50</v>
      </c>
      <c r="G339">
        <v>50</v>
      </c>
      <c r="H339">
        <v>1</v>
      </c>
      <c r="I339">
        <f t="shared" si="28"/>
        <v>1</v>
      </c>
      <c r="J339">
        <f t="shared" si="29"/>
        <v>1.31766E-3</v>
      </c>
    </row>
    <row r="340" spans="4:10">
      <c r="D340">
        <f t="shared" ca="1" si="25"/>
        <v>27.396476691877162</v>
      </c>
      <c r="E340">
        <f t="shared" ca="1" si="26"/>
        <v>1</v>
      </c>
      <c r="F340" s="84">
        <f t="shared" si="27"/>
        <v>66</v>
      </c>
      <c r="G340">
        <v>66</v>
      </c>
      <c r="H340">
        <v>1</v>
      </c>
      <c r="I340">
        <f t="shared" si="28"/>
        <v>1</v>
      </c>
      <c r="J340">
        <f t="shared" si="29"/>
        <v>4.7119800000000002E-3</v>
      </c>
    </row>
    <row r="341" spans="4:10">
      <c r="D341">
        <f t="shared" ca="1" si="25"/>
        <v>35.92975370968329</v>
      </c>
      <c r="E341">
        <f t="shared" ca="1" si="26"/>
        <v>1</v>
      </c>
      <c r="F341" s="84">
        <f t="shared" si="27"/>
        <v>24</v>
      </c>
      <c r="G341">
        <v>24</v>
      </c>
      <c r="H341">
        <v>1</v>
      </c>
      <c r="I341">
        <f t="shared" si="28"/>
        <v>1</v>
      </c>
      <c r="J341">
        <f t="shared" si="29"/>
        <v>2.5754E-4</v>
      </c>
    </row>
    <row r="342" spans="4:10">
      <c r="D342">
        <f t="shared" ca="1" si="25"/>
        <v>14.185912974819125</v>
      </c>
      <c r="E342">
        <f t="shared" ca="1" si="26"/>
        <v>1</v>
      </c>
      <c r="F342" s="84">
        <f t="shared" si="27"/>
        <v>4</v>
      </c>
      <c r="G342">
        <v>4</v>
      </c>
      <c r="H342">
        <v>0</v>
      </c>
      <c r="I342">
        <f t="shared" si="28"/>
        <v>0</v>
      </c>
      <c r="J342">
        <f t="shared" si="29"/>
        <v>1.0569E-4</v>
      </c>
    </row>
    <row r="343" spans="4:10">
      <c r="D343">
        <f t="shared" ca="1" si="25"/>
        <v>66.570168101648022</v>
      </c>
      <c r="E343">
        <f t="shared" ca="1" si="26"/>
        <v>1</v>
      </c>
      <c r="F343" s="84">
        <f t="shared" si="27"/>
        <v>51</v>
      </c>
      <c r="G343">
        <v>51</v>
      </c>
      <c r="H343">
        <v>1</v>
      </c>
      <c r="I343">
        <f t="shared" si="28"/>
        <v>1</v>
      </c>
      <c r="J343">
        <f t="shared" si="29"/>
        <v>1.4570900000000001E-3</v>
      </c>
    </row>
    <row r="344" spans="4:10">
      <c r="D344">
        <f t="shared" ca="1" si="25"/>
        <v>43.766259686354715</v>
      </c>
      <c r="E344">
        <f t="shared" ca="1" si="26"/>
        <v>1</v>
      </c>
      <c r="F344" s="84">
        <f t="shared" si="27"/>
        <v>50</v>
      </c>
      <c r="G344">
        <v>50</v>
      </c>
      <c r="H344">
        <v>0</v>
      </c>
      <c r="I344">
        <f t="shared" si="28"/>
        <v>1</v>
      </c>
      <c r="J344">
        <f t="shared" si="29"/>
        <v>2.92384E-3</v>
      </c>
    </row>
    <row r="345" spans="4:10">
      <c r="D345">
        <f t="shared" ca="1" si="25"/>
        <v>66.122317831940748</v>
      </c>
      <c r="E345">
        <f t="shared" ca="1" si="26"/>
        <v>0</v>
      </c>
      <c r="F345" s="84">
        <f t="shared" si="27"/>
        <v>52</v>
      </c>
      <c r="G345">
        <v>52</v>
      </c>
      <c r="H345">
        <v>1</v>
      </c>
      <c r="I345">
        <f t="shared" si="28"/>
        <v>1</v>
      </c>
      <c r="J345">
        <f t="shared" si="29"/>
        <v>1.60396E-3</v>
      </c>
    </row>
    <row r="346" spans="4:10">
      <c r="D346">
        <f t="shared" ca="1" si="25"/>
        <v>47.951994779338122</v>
      </c>
      <c r="E346">
        <f t="shared" ca="1" si="26"/>
        <v>1</v>
      </c>
      <c r="F346" s="84">
        <f t="shared" si="27"/>
        <v>24</v>
      </c>
      <c r="G346">
        <v>24</v>
      </c>
      <c r="H346">
        <v>0</v>
      </c>
      <c r="I346">
        <f t="shared" si="28"/>
        <v>1</v>
      </c>
      <c r="J346">
        <f t="shared" si="29"/>
        <v>3.3712E-4</v>
      </c>
    </row>
    <row r="347" spans="4:10">
      <c r="D347">
        <f t="shared" ca="1" si="25"/>
        <v>55.986028352351397</v>
      </c>
      <c r="E347">
        <f t="shared" ca="1" si="26"/>
        <v>1</v>
      </c>
      <c r="F347" s="84">
        <f t="shared" si="27"/>
        <v>66</v>
      </c>
      <c r="G347">
        <v>66</v>
      </c>
      <c r="H347">
        <v>0</v>
      </c>
      <c r="I347">
        <f t="shared" si="28"/>
        <v>1</v>
      </c>
      <c r="J347">
        <f t="shared" si="29"/>
        <v>1.017536E-2</v>
      </c>
    </row>
    <row r="348" spans="4:10">
      <c r="D348">
        <f t="shared" ca="1" si="25"/>
        <v>58.235901286795823</v>
      </c>
      <c r="E348">
        <f t="shared" ca="1" si="26"/>
        <v>0</v>
      </c>
      <c r="F348" s="84">
        <f t="shared" si="27"/>
        <v>49</v>
      </c>
      <c r="G348">
        <v>49</v>
      </c>
      <c r="H348">
        <v>1</v>
      </c>
      <c r="I348">
        <f t="shared" si="28"/>
        <v>1</v>
      </c>
      <c r="J348">
        <f t="shared" si="29"/>
        <v>1.1877400000000001E-3</v>
      </c>
    </row>
    <row r="349" spans="4:10">
      <c r="D349">
        <f t="shared" ca="1" si="25"/>
        <v>49.323456302799968</v>
      </c>
      <c r="E349">
        <f t="shared" ca="1" si="26"/>
        <v>0</v>
      </c>
      <c r="F349" s="84">
        <f t="shared" si="27"/>
        <v>24</v>
      </c>
      <c r="G349">
        <v>24</v>
      </c>
      <c r="H349">
        <v>1</v>
      </c>
      <c r="I349">
        <f t="shared" si="28"/>
        <v>1</v>
      </c>
      <c r="J349">
        <f t="shared" si="29"/>
        <v>2.5754E-4</v>
      </c>
    </row>
    <row r="350" spans="4:10">
      <c r="D350">
        <f t="shared" ca="1" si="25"/>
        <v>50.14126744935556</v>
      </c>
      <c r="E350">
        <f t="shared" ca="1" si="26"/>
        <v>1</v>
      </c>
      <c r="F350" s="84">
        <f t="shared" si="27"/>
        <v>16</v>
      </c>
      <c r="G350">
        <v>16</v>
      </c>
      <c r="H350">
        <v>1</v>
      </c>
      <c r="I350">
        <f t="shared" si="28"/>
        <v>0</v>
      </c>
      <c r="J350">
        <f t="shared" si="29"/>
        <v>1.3677000000000001E-4</v>
      </c>
    </row>
    <row r="351" spans="4:10">
      <c r="D351">
        <f t="shared" ca="1" si="25"/>
        <v>49.972510466095024</v>
      </c>
      <c r="E351">
        <f t="shared" ca="1" si="26"/>
        <v>0</v>
      </c>
      <c r="F351" s="84">
        <f t="shared" si="27"/>
        <v>31</v>
      </c>
      <c r="G351">
        <v>31</v>
      </c>
      <c r="H351">
        <v>0</v>
      </c>
      <c r="I351">
        <f t="shared" si="28"/>
        <v>1</v>
      </c>
      <c r="J351">
        <f t="shared" si="29"/>
        <v>5.9367000000000003E-4</v>
      </c>
    </row>
    <row r="352" spans="4:10">
      <c r="D352">
        <f t="shared" ca="1" si="25"/>
        <v>51.612087842332777</v>
      </c>
      <c r="E352">
        <f t="shared" ca="1" si="26"/>
        <v>1</v>
      </c>
      <c r="F352" s="84">
        <f t="shared" si="27"/>
        <v>34</v>
      </c>
      <c r="G352">
        <v>34</v>
      </c>
      <c r="H352">
        <v>1</v>
      </c>
      <c r="I352">
        <f t="shared" si="28"/>
        <v>1</v>
      </c>
      <c r="J352">
        <f t="shared" si="29"/>
        <v>3.3452999999999998E-4</v>
      </c>
    </row>
    <row r="353" spans="4:10">
      <c r="D353">
        <f t="shared" ca="1" si="25"/>
        <v>37.673902914532881</v>
      </c>
      <c r="E353">
        <f t="shared" ca="1" si="26"/>
        <v>1</v>
      </c>
      <c r="F353" s="84">
        <f t="shared" si="27"/>
        <v>43</v>
      </c>
      <c r="G353">
        <v>43</v>
      </c>
      <c r="H353">
        <v>1</v>
      </c>
      <c r="I353">
        <f t="shared" si="28"/>
        <v>1</v>
      </c>
      <c r="J353">
        <f t="shared" si="29"/>
        <v>6.6288000000000002E-4</v>
      </c>
    </row>
    <row r="354" spans="4:10">
      <c r="D354">
        <f t="shared" ca="1" si="25"/>
        <v>86.627006818665137</v>
      </c>
      <c r="E354">
        <f t="shared" ca="1" si="26"/>
        <v>0</v>
      </c>
      <c r="F354" s="84">
        <f t="shared" si="27"/>
        <v>75</v>
      </c>
      <c r="G354">
        <v>75</v>
      </c>
      <c r="H354">
        <v>1</v>
      </c>
      <c r="I354">
        <f t="shared" si="28"/>
        <v>1</v>
      </c>
      <c r="J354">
        <f t="shared" si="29"/>
        <v>1.2187669999999999E-2</v>
      </c>
    </row>
    <row r="355" spans="4:10">
      <c r="D355">
        <f t="shared" ca="1" si="25"/>
        <v>54.035745662561553</v>
      </c>
      <c r="E355">
        <f t="shared" ca="1" si="26"/>
        <v>1</v>
      </c>
      <c r="F355" s="84">
        <f t="shared" si="27"/>
        <v>46</v>
      </c>
      <c r="G355">
        <v>46</v>
      </c>
      <c r="H355">
        <v>0</v>
      </c>
      <c r="I355">
        <f t="shared" si="28"/>
        <v>1</v>
      </c>
      <c r="J355">
        <f t="shared" si="29"/>
        <v>1.9912900000000002E-3</v>
      </c>
    </row>
    <row r="356" spans="4:10">
      <c r="D356">
        <f t="shared" ca="1" si="25"/>
        <v>62.85121809247515</v>
      </c>
      <c r="E356">
        <f t="shared" ca="1" si="26"/>
        <v>1</v>
      </c>
      <c r="F356" s="84">
        <f t="shared" si="27"/>
        <v>47</v>
      </c>
      <c r="G356">
        <v>47</v>
      </c>
      <c r="H356">
        <v>1</v>
      </c>
      <c r="I356">
        <f t="shared" si="28"/>
        <v>1</v>
      </c>
      <c r="J356">
        <f t="shared" si="29"/>
        <v>9.6336999999999996E-4</v>
      </c>
    </row>
    <row r="357" spans="4:10">
      <c r="D357">
        <f t="shared" ca="1" si="25"/>
        <v>46.211833859201306</v>
      </c>
      <c r="E357">
        <f t="shared" ca="1" si="26"/>
        <v>1</v>
      </c>
      <c r="F357" s="84">
        <f t="shared" si="27"/>
        <v>51</v>
      </c>
      <c r="G357">
        <v>51</v>
      </c>
      <c r="H357">
        <v>1</v>
      </c>
      <c r="I357">
        <f t="shared" si="28"/>
        <v>1</v>
      </c>
      <c r="J357">
        <f t="shared" si="29"/>
        <v>1.4570900000000001E-3</v>
      </c>
    </row>
    <row r="358" spans="4:10">
      <c r="D358">
        <f t="shared" ca="1" si="25"/>
        <v>51.301289094786149</v>
      </c>
      <c r="E358">
        <f t="shared" ca="1" si="26"/>
        <v>0</v>
      </c>
      <c r="F358" s="84">
        <f t="shared" si="27"/>
        <v>64</v>
      </c>
      <c r="G358">
        <v>64</v>
      </c>
      <c r="H358">
        <v>1</v>
      </c>
      <c r="I358">
        <f t="shared" si="28"/>
        <v>1</v>
      </c>
      <c r="J358">
        <f t="shared" si="29"/>
        <v>4.06529E-3</v>
      </c>
    </row>
    <row r="359" spans="4:10">
      <c r="D359">
        <f t="shared" ca="1" si="25"/>
        <v>10.020219822768503</v>
      </c>
      <c r="E359">
        <f t="shared" ca="1" si="26"/>
        <v>1</v>
      </c>
      <c r="F359" s="84">
        <f t="shared" si="27"/>
        <v>57</v>
      </c>
      <c r="G359">
        <v>57</v>
      </c>
      <c r="H359">
        <v>1</v>
      </c>
      <c r="I359">
        <f t="shared" si="28"/>
        <v>1</v>
      </c>
      <c r="J359">
        <f t="shared" si="29"/>
        <v>2.4432899999999999E-3</v>
      </c>
    </row>
    <row r="360" spans="4:10">
      <c r="D360">
        <f t="shared" ca="1" si="25"/>
        <v>32.548376259255072</v>
      </c>
      <c r="E360">
        <f t="shared" ca="1" si="26"/>
        <v>0</v>
      </c>
      <c r="F360" s="84">
        <f t="shared" si="27"/>
        <v>36</v>
      </c>
      <c r="G360">
        <v>36</v>
      </c>
      <c r="H360">
        <v>0</v>
      </c>
      <c r="I360">
        <f t="shared" si="28"/>
        <v>1</v>
      </c>
      <c r="J360">
        <f t="shared" si="29"/>
        <v>7.8529000000000001E-4</v>
      </c>
    </row>
    <row r="361" spans="4:10">
      <c r="D361">
        <f t="shared" ca="1" si="25"/>
        <v>38.181670459105575</v>
      </c>
      <c r="E361">
        <f t="shared" ca="1" si="26"/>
        <v>1</v>
      </c>
      <c r="F361" s="84">
        <f t="shared" si="27"/>
        <v>53</v>
      </c>
      <c r="G361">
        <v>53</v>
      </c>
      <c r="H361">
        <v>1</v>
      </c>
      <c r="I361">
        <f t="shared" si="28"/>
        <v>1</v>
      </c>
      <c r="J361">
        <f t="shared" si="29"/>
        <v>1.7577700000000001E-3</v>
      </c>
    </row>
    <row r="362" spans="4:10">
      <c r="D362">
        <f t="shared" ca="1" si="25"/>
        <v>59.798318348063511</v>
      </c>
      <c r="E362">
        <f t="shared" ca="1" si="26"/>
        <v>1</v>
      </c>
      <c r="F362" s="84">
        <f t="shared" si="27"/>
        <v>39</v>
      </c>
      <c r="G362">
        <v>39</v>
      </c>
      <c r="H362">
        <v>0</v>
      </c>
      <c r="I362">
        <f t="shared" si="28"/>
        <v>1</v>
      </c>
      <c r="J362">
        <f t="shared" si="29"/>
        <v>9.5204999999999997E-4</v>
      </c>
    </row>
    <row r="363" spans="4:10">
      <c r="D363">
        <f t="shared" ca="1" si="25"/>
        <v>42.585817102201005</v>
      </c>
      <c r="E363">
        <f t="shared" ca="1" si="26"/>
        <v>1</v>
      </c>
      <c r="F363" s="84">
        <f t="shared" si="27"/>
        <v>38</v>
      </c>
      <c r="G363">
        <v>38</v>
      </c>
      <c r="H363">
        <v>1</v>
      </c>
      <c r="I363">
        <f t="shared" si="28"/>
        <v>1</v>
      </c>
      <c r="J363">
        <f t="shared" si="29"/>
        <v>4.4977E-4</v>
      </c>
    </row>
    <row r="364" spans="4:10">
      <c r="D364">
        <f t="shared" ca="1" si="25"/>
        <v>67.963282423226985</v>
      </c>
      <c r="E364">
        <f t="shared" ca="1" si="26"/>
        <v>1</v>
      </c>
      <c r="F364" s="84">
        <f t="shared" si="27"/>
        <v>53</v>
      </c>
      <c r="G364">
        <v>53</v>
      </c>
      <c r="H364">
        <v>0</v>
      </c>
      <c r="I364">
        <f t="shared" si="28"/>
        <v>1</v>
      </c>
      <c r="J364">
        <f t="shared" si="29"/>
        <v>3.6235600000000001E-3</v>
      </c>
    </row>
    <row r="365" spans="4:10">
      <c r="D365">
        <f t="shared" ca="1" si="25"/>
        <v>40.791602897482306</v>
      </c>
      <c r="E365">
        <f t="shared" ca="1" si="26"/>
        <v>1</v>
      </c>
      <c r="F365" s="84">
        <f t="shared" si="27"/>
        <v>39</v>
      </c>
      <c r="G365">
        <v>39</v>
      </c>
      <c r="H365">
        <v>1</v>
      </c>
      <c r="I365">
        <f t="shared" si="28"/>
        <v>1</v>
      </c>
      <c r="J365">
        <f t="shared" si="29"/>
        <v>4.8622999999999998E-4</v>
      </c>
    </row>
    <row r="366" spans="4:10">
      <c r="D366">
        <f t="shared" ca="1" si="25"/>
        <v>30.462830607063271</v>
      </c>
      <c r="E366">
        <f t="shared" ca="1" si="26"/>
        <v>1</v>
      </c>
      <c r="F366" s="84">
        <f t="shared" si="27"/>
        <v>60</v>
      </c>
      <c r="G366">
        <v>60</v>
      </c>
      <c r="H366">
        <v>1</v>
      </c>
      <c r="I366">
        <f t="shared" si="28"/>
        <v>1</v>
      </c>
      <c r="J366">
        <f t="shared" si="29"/>
        <v>3.06333E-3</v>
      </c>
    </row>
    <row r="367" spans="4:10">
      <c r="D367">
        <f t="shared" ca="1" si="25"/>
        <v>34.261681313605422</v>
      </c>
      <c r="E367">
        <f t="shared" ca="1" si="26"/>
        <v>0</v>
      </c>
      <c r="F367" s="84">
        <f t="shared" si="27"/>
        <v>25</v>
      </c>
      <c r="G367">
        <v>25</v>
      </c>
      <c r="H367">
        <v>1</v>
      </c>
      <c r="I367">
        <f t="shared" si="28"/>
        <v>1</v>
      </c>
      <c r="J367">
        <f t="shared" si="29"/>
        <v>2.8196999999999999E-4</v>
      </c>
    </row>
    <row r="368" spans="4:10">
      <c r="D368">
        <f t="shared" ca="1" si="25"/>
        <v>58.924975958346501</v>
      </c>
      <c r="E368">
        <f t="shared" ca="1" si="26"/>
        <v>1</v>
      </c>
      <c r="F368" s="84">
        <f t="shared" si="27"/>
        <v>41</v>
      </c>
      <c r="G368">
        <v>41</v>
      </c>
      <c r="H368">
        <v>1</v>
      </c>
      <c r="I368">
        <f t="shared" si="28"/>
        <v>1</v>
      </c>
      <c r="J368">
        <f t="shared" si="29"/>
        <v>5.6607000000000001E-4</v>
      </c>
    </row>
    <row r="369" spans="4:10">
      <c r="D369">
        <f t="shared" ca="1" si="25"/>
        <v>51.761317983728993</v>
      </c>
      <c r="E369">
        <f t="shared" ca="1" si="26"/>
        <v>1</v>
      </c>
      <c r="F369" s="84">
        <f t="shared" si="27"/>
        <v>18</v>
      </c>
      <c r="G369">
        <v>18</v>
      </c>
      <c r="H369">
        <v>1</v>
      </c>
      <c r="I369">
        <f t="shared" si="28"/>
        <v>1</v>
      </c>
      <c r="J369">
        <f t="shared" si="29"/>
        <v>1.4616999999999999E-4</v>
      </c>
    </row>
    <row r="370" spans="4:10">
      <c r="D370">
        <f t="shared" ca="1" si="25"/>
        <v>49.212930502064395</v>
      </c>
      <c r="E370">
        <f t="shared" ca="1" si="26"/>
        <v>0</v>
      </c>
      <c r="F370" s="84">
        <f t="shared" si="27"/>
        <v>46</v>
      </c>
      <c r="G370">
        <v>46</v>
      </c>
      <c r="H370">
        <v>1</v>
      </c>
      <c r="I370">
        <f t="shared" si="28"/>
        <v>1</v>
      </c>
      <c r="J370">
        <f t="shared" si="29"/>
        <v>8.7060000000000002E-4</v>
      </c>
    </row>
    <row r="371" spans="4:10">
      <c r="D371">
        <f t="shared" ca="1" si="25"/>
        <v>60.741001926021234</v>
      </c>
      <c r="E371">
        <f t="shared" ca="1" si="26"/>
        <v>1</v>
      </c>
      <c r="F371" s="84">
        <f t="shared" si="27"/>
        <v>29</v>
      </c>
      <c r="G371">
        <v>29</v>
      </c>
      <c r="H371">
        <v>1</v>
      </c>
      <c r="I371">
        <f t="shared" si="28"/>
        <v>1</v>
      </c>
      <c r="J371">
        <f t="shared" si="29"/>
        <v>3.1763000000000001E-4</v>
      </c>
    </row>
    <row r="372" spans="4:10">
      <c r="D372">
        <f t="shared" ca="1" si="25"/>
        <v>73.748307545311448</v>
      </c>
      <c r="E372">
        <f t="shared" ca="1" si="26"/>
        <v>1</v>
      </c>
      <c r="F372" s="84">
        <f t="shared" si="27"/>
        <v>73</v>
      </c>
      <c r="G372">
        <v>73</v>
      </c>
      <c r="H372">
        <v>1</v>
      </c>
      <c r="I372">
        <f t="shared" si="28"/>
        <v>1</v>
      </c>
      <c r="J372">
        <f t="shared" si="29"/>
        <v>9.4021599999999997E-3</v>
      </c>
    </row>
    <row r="373" spans="4:10">
      <c r="D373">
        <f t="shared" ca="1" si="25"/>
        <v>34.892060707763491</v>
      </c>
      <c r="E373">
        <f t="shared" ca="1" si="26"/>
        <v>1</v>
      </c>
      <c r="F373" s="84">
        <f t="shared" si="27"/>
        <v>60</v>
      </c>
      <c r="G373">
        <v>60</v>
      </c>
      <c r="H373">
        <v>1</v>
      </c>
      <c r="I373">
        <f t="shared" si="28"/>
        <v>1</v>
      </c>
      <c r="J373">
        <f t="shared" si="29"/>
        <v>3.06333E-3</v>
      </c>
    </row>
    <row r="374" spans="4:10">
      <c r="D374">
        <f t="shared" ca="1" si="25"/>
        <v>38.680350253200686</v>
      </c>
      <c r="E374">
        <f t="shared" ca="1" si="26"/>
        <v>1</v>
      </c>
      <c r="F374" s="84">
        <f t="shared" si="27"/>
        <v>45</v>
      </c>
      <c r="G374">
        <v>45</v>
      </c>
      <c r="H374">
        <v>1</v>
      </c>
      <c r="I374">
        <f t="shared" si="28"/>
        <v>1</v>
      </c>
      <c r="J374">
        <f t="shared" si="29"/>
        <v>7.9022999999999995E-4</v>
      </c>
    </row>
    <row r="375" spans="4:10">
      <c r="D375">
        <f t="shared" ca="1" si="25"/>
        <v>44.764118911556935</v>
      </c>
      <c r="E375">
        <f t="shared" ca="1" si="26"/>
        <v>0</v>
      </c>
      <c r="F375" s="84">
        <f t="shared" si="27"/>
        <v>46</v>
      </c>
      <c r="G375">
        <v>46</v>
      </c>
      <c r="H375">
        <v>1</v>
      </c>
      <c r="I375">
        <f t="shared" si="28"/>
        <v>1</v>
      </c>
      <c r="J375">
        <f t="shared" si="29"/>
        <v>8.7060000000000002E-4</v>
      </c>
    </row>
    <row r="376" spans="4:10">
      <c r="D376">
        <f t="shared" ca="1" si="25"/>
        <v>60.360778727570484</v>
      </c>
      <c r="E376">
        <f t="shared" ca="1" si="26"/>
        <v>1</v>
      </c>
      <c r="F376" s="84">
        <f t="shared" si="27"/>
        <v>50</v>
      </c>
      <c r="G376">
        <v>50</v>
      </c>
      <c r="H376">
        <v>1</v>
      </c>
      <c r="I376">
        <f t="shared" si="28"/>
        <v>1</v>
      </c>
      <c r="J376">
        <f t="shared" si="29"/>
        <v>1.31766E-3</v>
      </c>
    </row>
    <row r="377" spans="4:10">
      <c r="D377">
        <f t="shared" ca="1" si="25"/>
        <v>27.558813316668274</v>
      </c>
      <c r="E377">
        <f t="shared" ca="1" si="26"/>
        <v>0</v>
      </c>
      <c r="F377" s="84">
        <f t="shared" si="27"/>
        <v>48</v>
      </c>
      <c r="G377">
        <v>48</v>
      </c>
      <c r="H377">
        <v>0</v>
      </c>
      <c r="I377">
        <f t="shared" si="28"/>
        <v>1</v>
      </c>
      <c r="J377">
        <f t="shared" si="29"/>
        <v>2.4474599999999998E-3</v>
      </c>
    </row>
    <row r="378" spans="4:10">
      <c r="D378">
        <f t="shared" ca="1" si="25"/>
        <v>57.5609518849366</v>
      </c>
      <c r="E378">
        <f t="shared" ca="1" si="26"/>
        <v>1</v>
      </c>
      <c r="F378" s="84">
        <f t="shared" si="27"/>
        <v>46</v>
      </c>
      <c r="G378">
        <v>46</v>
      </c>
      <c r="H378">
        <v>1</v>
      </c>
      <c r="I378">
        <f t="shared" si="28"/>
        <v>1</v>
      </c>
      <c r="J378">
        <f t="shared" si="29"/>
        <v>8.7060000000000002E-4</v>
      </c>
    </row>
    <row r="379" spans="4:10">
      <c r="D379">
        <f t="shared" ca="1" si="25"/>
        <v>31.756483962032995</v>
      </c>
      <c r="E379">
        <f t="shared" ca="1" si="26"/>
        <v>1</v>
      </c>
      <c r="F379" s="84">
        <f t="shared" si="27"/>
        <v>63</v>
      </c>
      <c r="G379">
        <v>63</v>
      </c>
      <c r="H379">
        <v>1</v>
      </c>
      <c r="I379">
        <f t="shared" si="28"/>
        <v>1</v>
      </c>
      <c r="J379">
        <f t="shared" si="29"/>
        <v>3.7797199999999999E-3</v>
      </c>
    </row>
    <row r="380" spans="4:10">
      <c r="D380">
        <f t="shared" ca="1" si="25"/>
        <v>38.40114618507905</v>
      </c>
      <c r="E380">
        <f t="shared" ca="1" si="26"/>
        <v>1</v>
      </c>
      <c r="F380" s="84">
        <f t="shared" si="27"/>
        <v>52</v>
      </c>
      <c r="G380">
        <v>52</v>
      </c>
      <c r="H380">
        <v>1</v>
      </c>
      <c r="I380">
        <f t="shared" si="28"/>
        <v>1</v>
      </c>
      <c r="J380">
        <f t="shared" si="29"/>
        <v>1.60396E-3</v>
      </c>
    </row>
    <row r="381" spans="4:10">
      <c r="D381">
        <f t="shared" ca="1" si="25"/>
        <v>53.105457601119937</v>
      </c>
      <c r="E381">
        <f t="shared" ca="1" si="26"/>
        <v>1</v>
      </c>
      <c r="F381" s="84">
        <f t="shared" si="27"/>
        <v>29</v>
      </c>
      <c r="G381">
        <v>29</v>
      </c>
      <c r="H381">
        <v>1</v>
      </c>
      <c r="I381">
        <f t="shared" si="28"/>
        <v>1</v>
      </c>
      <c r="J381">
        <f t="shared" si="29"/>
        <v>3.1763000000000001E-4</v>
      </c>
    </row>
    <row r="382" spans="4:10">
      <c r="D382">
        <f t="shared" ca="1" si="25"/>
        <v>82.117581851568048</v>
      </c>
      <c r="E382">
        <f t="shared" ca="1" si="26"/>
        <v>1</v>
      </c>
      <c r="F382" s="84">
        <f t="shared" si="27"/>
        <v>57</v>
      </c>
      <c r="G382">
        <v>57</v>
      </c>
      <c r="H382">
        <v>0</v>
      </c>
      <c r="I382">
        <f t="shared" si="28"/>
        <v>1</v>
      </c>
      <c r="J382">
        <f t="shared" si="29"/>
        <v>4.8062900000000004E-3</v>
      </c>
    </row>
    <row r="383" spans="4:10">
      <c r="D383">
        <f t="shared" ca="1" si="25"/>
        <v>43.169897782212509</v>
      </c>
      <c r="E383">
        <f t="shared" ca="1" si="26"/>
        <v>0</v>
      </c>
      <c r="F383" s="84">
        <f t="shared" si="27"/>
        <v>35</v>
      </c>
      <c r="G383">
        <v>35</v>
      </c>
      <c r="H383">
        <v>0</v>
      </c>
      <c r="I383">
        <f t="shared" si="28"/>
        <v>1</v>
      </c>
      <c r="J383">
        <f t="shared" si="29"/>
        <v>7.4293000000000004E-4</v>
      </c>
    </row>
    <row r="384" spans="4:10">
      <c r="D384">
        <f t="shared" ca="1" si="25"/>
        <v>46.370978993004726</v>
      </c>
      <c r="E384">
        <f t="shared" ca="1" si="26"/>
        <v>1</v>
      </c>
      <c r="F384" s="84">
        <f t="shared" si="27"/>
        <v>66</v>
      </c>
      <c r="G384">
        <v>66</v>
      </c>
      <c r="H384">
        <v>1</v>
      </c>
      <c r="I384">
        <f t="shared" si="28"/>
        <v>1</v>
      </c>
      <c r="J384">
        <f t="shared" si="29"/>
        <v>4.7119800000000002E-3</v>
      </c>
    </row>
    <row r="385" spans="4:10">
      <c r="D385">
        <f t="shared" ca="1" si="25"/>
        <v>47.192328522546667</v>
      </c>
      <c r="E385">
        <f t="shared" ca="1" si="26"/>
        <v>1</v>
      </c>
      <c r="F385" s="84">
        <f t="shared" si="27"/>
        <v>42</v>
      </c>
      <c r="G385">
        <v>42</v>
      </c>
      <c r="H385">
        <v>0</v>
      </c>
      <c r="I385">
        <f t="shared" si="28"/>
        <v>1</v>
      </c>
      <c r="J385">
        <f t="shared" si="29"/>
        <v>1.2642700000000001E-3</v>
      </c>
    </row>
    <row r="386" spans="4:10">
      <c r="D386">
        <f t="shared" ref="D386:D449" ca="1" si="30">NORMINV(RAND(), mean_age, sd_age)</f>
        <v>62.985547404178917</v>
      </c>
      <c r="E386">
        <f t="shared" ref="E386:E449" ca="1" si="31">_xlfn.BINOM.INV(1, prop_female, RAND())</f>
        <v>1</v>
      </c>
      <c r="F386" s="84">
        <f t="shared" ref="F386:F449" si="32">ROUND(G386,0)</f>
        <v>19</v>
      </c>
      <c r="G386">
        <v>19</v>
      </c>
      <c r="H386">
        <v>0</v>
      </c>
      <c r="I386">
        <f t="shared" ref="I386:I449" si="33">IF(G386&lt;18, 0, 1)</f>
        <v>1</v>
      </c>
      <c r="J386">
        <f t="shared" ref="J386:J449" si="34">IF(H386=0,VLOOKUP(G386,$M$2:$O$102,2,TRUE),VLOOKUP(G386,$M$2:$O$102,3,TRUE))</f>
        <v>3.0982999999999998E-4</v>
      </c>
    </row>
    <row r="387" spans="4:10">
      <c r="D387">
        <f t="shared" ca="1" si="30"/>
        <v>31.791125371457248</v>
      </c>
      <c r="E387">
        <f t="shared" ca="1" si="31"/>
        <v>1</v>
      </c>
      <c r="F387" s="84">
        <f t="shared" si="32"/>
        <v>60</v>
      </c>
      <c r="G387">
        <v>60</v>
      </c>
      <c r="H387">
        <v>1</v>
      </c>
      <c r="I387">
        <f t="shared" si="33"/>
        <v>1</v>
      </c>
      <c r="J387">
        <f t="shared" si="34"/>
        <v>3.06333E-3</v>
      </c>
    </row>
    <row r="388" spans="4:10">
      <c r="D388">
        <f t="shared" ca="1" si="30"/>
        <v>54.023945903064963</v>
      </c>
      <c r="E388">
        <f t="shared" ca="1" si="31"/>
        <v>1</v>
      </c>
      <c r="F388" s="84">
        <f t="shared" si="32"/>
        <v>37</v>
      </c>
      <c r="G388">
        <v>37</v>
      </c>
      <c r="H388">
        <v>0</v>
      </c>
      <c r="I388">
        <f t="shared" si="33"/>
        <v>1</v>
      </c>
      <c r="J388">
        <f t="shared" si="34"/>
        <v>8.3212E-4</v>
      </c>
    </row>
    <row r="389" spans="4:10">
      <c r="D389">
        <f t="shared" ca="1" si="30"/>
        <v>42.289809383125004</v>
      </c>
      <c r="E389">
        <f t="shared" ca="1" si="31"/>
        <v>1</v>
      </c>
      <c r="F389" s="84">
        <f t="shared" si="32"/>
        <v>51</v>
      </c>
      <c r="G389">
        <v>51</v>
      </c>
      <c r="H389">
        <v>1</v>
      </c>
      <c r="I389">
        <f t="shared" si="33"/>
        <v>1</v>
      </c>
      <c r="J389">
        <f t="shared" si="34"/>
        <v>1.4570900000000001E-3</v>
      </c>
    </row>
    <row r="390" spans="4:10">
      <c r="D390">
        <f t="shared" ca="1" si="30"/>
        <v>29.859792513176245</v>
      </c>
      <c r="E390">
        <f t="shared" ca="1" si="31"/>
        <v>0</v>
      </c>
      <c r="F390" s="84">
        <f t="shared" si="32"/>
        <v>25</v>
      </c>
      <c r="G390">
        <v>25</v>
      </c>
      <c r="H390">
        <v>1</v>
      </c>
      <c r="I390">
        <f t="shared" si="33"/>
        <v>1</v>
      </c>
      <c r="J390">
        <f t="shared" si="34"/>
        <v>2.8196999999999999E-4</v>
      </c>
    </row>
    <row r="391" spans="4:10">
      <c r="D391">
        <f t="shared" ca="1" si="30"/>
        <v>24.751491096953554</v>
      </c>
      <c r="E391">
        <f t="shared" ca="1" si="31"/>
        <v>0</v>
      </c>
      <c r="F391" s="84">
        <f t="shared" si="32"/>
        <v>43</v>
      </c>
      <c r="G391">
        <v>43</v>
      </c>
      <c r="H391">
        <v>0</v>
      </c>
      <c r="I391">
        <f t="shared" si="33"/>
        <v>1</v>
      </c>
      <c r="J391">
        <f t="shared" si="34"/>
        <v>1.4137500000000001E-3</v>
      </c>
    </row>
    <row r="392" spans="4:10">
      <c r="D392">
        <f t="shared" ca="1" si="30"/>
        <v>31.207365729952574</v>
      </c>
      <c r="E392">
        <f t="shared" ca="1" si="31"/>
        <v>1</v>
      </c>
      <c r="F392" s="84">
        <f t="shared" si="32"/>
        <v>33</v>
      </c>
      <c r="G392">
        <v>33</v>
      </c>
      <c r="H392">
        <v>1</v>
      </c>
      <c r="I392">
        <f t="shared" si="33"/>
        <v>1</v>
      </c>
      <c r="J392">
        <f t="shared" si="34"/>
        <v>3.1915999999999997E-4</v>
      </c>
    </row>
    <row r="393" spans="4:10">
      <c r="D393">
        <f t="shared" ca="1" si="30"/>
        <v>4.7367123311484107</v>
      </c>
      <c r="E393">
        <f t="shared" ca="1" si="31"/>
        <v>0</v>
      </c>
      <c r="F393" s="84">
        <f t="shared" si="32"/>
        <v>54</v>
      </c>
      <c r="G393">
        <v>54</v>
      </c>
      <c r="H393">
        <v>1</v>
      </c>
      <c r="I393">
        <f t="shared" si="33"/>
        <v>1</v>
      </c>
      <c r="J393">
        <f t="shared" si="34"/>
        <v>1.9186400000000001E-3</v>
      </c>
    </row>
    <row r="394" spans="4:10">
      <c r="D394">
        <f t="shared" ca="1" si="30"/>
        <v>77.336235003547642</v>
      </c>
      <c r="E394">
        <f t="shared" ca="1" si="31"/>
        <v>1</v>
      </c>
      <c r="F394" s="84">
        <f t="shared" si="32"/>
        <v>56</v>
      </c>
      <c r="G394">
        <v>56</v>
      </c>
      <c r="H394">
        <v>1</v>
      </c>
      <c r="I394">
        <f t="shared" si="33"/>
        <v>1</v>
      </c>
      <c r="J394">
        <f t="shared" si="34"/>
        <v>2.2598000000000002E-3</v>
      </c>
    </row>
    <row r="395" spans="4:10">
      <c r="D395">
        <f t="shared" ca="1" si="30"/>
        <v>48.818750595110721</v>
      </c>
      <c r="E395">
        <f t="shared" ca="1" si="31"/>
        <v>1</v>
      </c>
      <c r="F395" s="84">
        <f t="shared" si="32"/>
        <v>65</v>
      </c>
      <c r="G395">
        <v>65</v>
      </c>
      <c r="H395">
        <v>1</v>
      </c>
      <c r="I395">
        <f t="shared" si="33"/>
        <v>1</v>
      </c>
      <c r="J395">
        <f t="shared" si="34"/>
        <v>4.3744200000000004E-3</v>
      </c>
    </row>
    <row r="396" spans="4:10">
      <c r="D396">
        <f t="shared" ca="1" si="30"/>
        <v>78.788490045286437</v>
      </c>
      <c r="E396">
        <f t="shared" ca="1" si="31"/>
        <v>1</v>
      </c>
      <c r="F396" s="84">
        <f t="shared" si="32"/>
        <v>51</v>
      </c>
      <c r="G396">
        <v>51</v>
      </c>
      <c r="H396">
        <v>1</v>
      </c>
      <c r="I396">
        <f t="shared" si="33"/>
        <v>1</v>
      </c>
      <c r="J396">
        <f t="shared" si="34"/>
        <v>1.4570900000000001E-3</v>
      </c>
    </row>
    <row r="397" spans="4:10">
      <c r="D397">
        <f t="shared" ca="1" si="30"/>
        <v>41.746473117484342</v>
      </c>
      <c r="E397">
        <f t="shared" ca="1" si="31"/>
        <v>1</v>
      </c>
      <c r="F397" s="84">
        <f t="shared" si="32"/>
        <v>57</v>
      </c>
      <c r="G397">
        <v>57</v>
      </c>
      <c r="H397">
        <v>1</v>
      </c>
      <c r="I397">
        <f t="shared" si="33"/>
        <v>1</v>
      </c>
      <c r="J397">
        <f t="shared" si="34"/>
        <v>2.4432899999999999E-3</v>
      </c>
    </row>
    <row r="398" spans="4:10">
      <c r="D398">
        <f t="shared" ca="1" si="30"/>
        <v>81.20295142026643</v>
      </c>
      <c r="E398">
        <f t="shared" ca="1" si="31"/>
        <v>1</v>
      </c>
      <c r="F398" s="84">
        <f t="shared" si="32"/>
        <v>71</v>
      </c>
      <c r="G398">
        <v>71</v>
      </c>
      <c r="H398">
        <v>0</v>
      </c>
      <c r="I398">
        <f t="shared" si="33"/>
        <v>1</v>
      </c>
      <c r="J398">
        <f t="shared" si="34"/>
        <v>1.5782210000000001E-2</v>
      </c>
    </row>
    <row r="399" spans="4:10">
      <c r="D399">
        <f t="shared" ca="1" si="30"/>
        <v>37.251584612494426</v>
      </c>
      <c r="E399">
        <f t="shared" ca="1" si="31"/>
        <v>0</v>
      </c>
      <c r="F399" s="84">
        <f t="shared" si="32"/>
        <v>71</v>
      </c>
      <c r="G399">
        <v>71</v>
      </c>
      <c r="H399">
        <v>1</v>
      </c>
      <c r="I399">
        <f t="shared" si="33"/>
        <v>1</v>
      </c>
      <c r="J399">
        <f t="shared" si="34"/>
        <v>7.4666999999999997E-3</v>
      </c>
    </row>
    <row r="400" spans="4:10">
      <c r="D400">
        <f t="shared" ca="1" si="30"/>
        <v>27.280475668465581</v>
      </c>
      <c r="E400">
        <f t="shared" ca="1" si="31"/>
        <v>0</v>
      </c>
      <c r="F400" s="84">
        <f t="shared" si="32"/>
        <v>48</v>
      </c>
      <c r="G400">
        <v>48</v>
      </c>
      <c r="H400">
        <v>0</v>
      </c>
      <c r="I400">
        <f t="shared" si="33"/>
        <v>1</v>
      </c>
      <c r="J400">
        <f t="shared" si="34"/>
        <v>2.4474599999999998E-3</v>
      </c>
    </row>
    <row r="401" spans="4:10">
      <c r="D401">
        <f t="shared" ca="1" si="30"/>
        <v>26.095567098729742</v>
      </c>
      <c r="E401">
        <f t="shared" ca="1" si="31"/>
        <v>1</v>
      </c>
      <c r="F401" s="84">
        <f t="shared" si="32"/>
        <v>68</v>
      </c>
      <c r="G401">
        <v>68</v>
      </c>
      <c r="H401">
        <v>1</v>
      </c>
      <c r="I401">
        <f t="shared" si="33"/>
        <v>1</v>
      </c>
      <c r="J401">
        <f t="shared" si="34"/>
        <v>5.5425099999999996E-3</v>
      </c>
    </row>
    <row r="402" spans="4:10">
      <c r="D402">
        <f t="shared" ca="1" si="30"/>
        <v>88.457548790381367</v>
      </c>
      <c r="E402">
        <f t="shared" ca="1" si="31"/>
        <v>1</v>
      </c>
      <c r="F402" s="84">
        <f t="shared" si="32"/>
        <v>38</v>
      </c>
      <c r="G402">
        <v>38</v>
      </c>
      <c r="H402">
        <v>1</v>
      </c>
      <c r="I402">
        <f t="shared" si="33"/>
        <v>1</v>
      </c>
      <c r="J402">
        <f t="shared" si="34"/>
        <v>4.4977E-4</v>
      </c>
    </row>
    <row r="403" spans="4:10">
      <c r="D403">
        <f t="shared" ca="1" si="30"/>
        <v>18.187877990325688</v>
      </c>
      <c r="E403">
        <f t="shared" ca="1" si="31"/>
        <v>1</v>
      </c>
      <c r="F403" s="84">
        <f t="shared" si="32"/>
        <v>57</v>
      </c>
      <c r="G403">
        <v>57</v>
      </c>
      <c r="H403">
        <v>1</v>
      </c>
      <c r="I403">
        <f t="shared" si="33"/>
        <v>1</v>
      </c>
      <c r="J403">
        <f t="shared" si="34"/>
        <v>2.4432899999999999E-3</v>
      </c>
    </row>
    <row r="404" spans="4:10">
      <c r="D404">
        <f t="shared" ca="1" si="30"/>
        <v>61.398377837992612</v>
      </c>
      <c r="E404">
        <f t="shared" ca="1" si="31"/>
        <v>1</v>
      </c>
      <c r="F404" s="84">
        <f t="shared" si="32"/>
        <v>39</v>
      </c>
      <c r="G404">
        <v>39</v>
      </c>
      <c r="H404">
        <v>0</v>
      </c>
      <c r="I404">
        <f t="shared" si="33"/>
        <v>1</v>
      </c>
      <c r="J404">
        <f t="shared" si="34"/>
        <v>9.5204999999999997E-4</v>
      </c>
    </row>
    <row r="405" spans="4:10">
      <c r="D405">
        <f t="shared" ca="1" si="30"/>
        <v>54.502363886532578</v>
      </c>
      <c r="E405">
        <f t="shared" ca="1" si="31"/>
        <v>1</v>
      </c>
      <c r="F405" s="84">
        <f t="shared" si="32"/>
        <v>15</v>
      </c>
      <c r="G405">
        <v>15</v>
      </c>
      <c r="H405">
        <v>1</v>
      </c>
      <c r="I405">
        <f t="shared" si="33"/>
        <v>0</v>
      </c>
      <c r="J405">
        <f t="shared" si="34"/>
        <v>1.3402999999999999E-4</v>
      </c>
    </row>
    <row r="406" spans="4:10">
      <c r="D406">
        <f t="shared" ca="1" si="30"/>
        <v>36.417557027878985</v>
      </c>
      <c r="E406">
        <f t="shared" ca="1" si="31"/>
        <v>0</v>
      </c>
      <c r="F406" s="84">
        <f t="shared" si="32"/>
        <v>71</v>
      </c>
      <c r="G406">
        <v>71</v>
      </c>
      <c r="H406">
        <v>1</v>
      </c>
      <c r="I406">
        <f t="shared" si="33"/>
        <v>1</v>
      </c>
      <c r="J406">
        <f t="shared" si="34"/>
        <v>7.4666999999999997E-3</v>
      </c>
    </row>
    <row r="407" spans="4:10">
      <c r="D407">
        <f t="shared" ca="1" si="30"/>
        <v>17.505512362353876</v>
      </c>
      <c r="E407">
        <f t="shared" ca="1" si="31"/>
        <v>1</v>
      </c>
      <c r="F407" s="84">
        <f t="shared" si="32"/>
        <v>63</v>
      </c>
      <c r="G407">
        <v>63</v>
      </c>
      <c r="H407">
        <v>1</v>
      </c>
      <c r="I407">
        <f t="shared" si="33"/>
        <v>1</v>
      </c>
      <c r="J407">
        <f t="shared" si="34"/>
        <v>3.7797199999999999E-3</v>
      </c>
    </row>
    <row r="408" spans="4:10">
      <c r="D408">
        <f t="shared" ca="1" si="30"/>
        <v>72.71478741822034</v>
      </c>
      <c r="E408">
        <f t="shared" ca="1" si="31"/>
        <v>1</v>
      </c>
      <c r="F408" s="84">
        <f t="shared" si="32"/>
        <v>26</v>
      </c>
      <c r="G408">
        <v>26</v>
      </c>
      <c r="H408">
        <v>1</v>
      </c>
      <c r="I408">
        <f t="shared" si="33"/>
        <v>1</v>
      </c>
      <c r="J408">
        <f t="shared" si="34"/>
        <v>3.0111E-4</v>
      </c>
    </row>
    <row r="409" spans="4:10">
      <c r="D409">
        <f t="shared" ca="1" si="30"/>
        <v>38.53535482094042</v>
      </c>
      <c r="E409">
        <f t="shared" ca="1" si="31"/>
        <v>0</v>
      </c>
      <c r="F409" s="84">
        <f t="shared" si="32"/>
        <v>33</v>
      </c>
      <c r="G409">
        <v>33</v>
      </c>
      <c r="H409">
        <v>1</v>
      </c>
      <c r="I409">
        <f t="shared" si="33"/>
        <v>1</v>
      </c>
      <c r="J409">
        <f t="shared" si="34"/>
        <v>3.1915999999999997E-4</v>
      </c>
    </row>
    <row r="410" spans="4:10">
      <c r="D410">
        <f t="shared" ca="1" si="30"/>
        <v>49.280802302976305</v>
      </c>
      <c r="E410">
        <f t="shared" ca="1" si="31"/>
        <v>0</v>
      </c>
      <c r="F410" s="84">
        <f t="shared" si="32"/>
        <v>77</v>
      </c>
      <c r="G410">
        <v>77</v>
      </c>
      <c r="H410">
        <v>1</v>
      </c>
      <c r="I410">
        <f t="shared" si="33"/>
        <v>1</v>
      </c>
      <c r="J410">
        <f t="shared" si="34"/>
        <v>1.6082320000000001E-2</v>
      </c>
    </row>
    <row r="411" spans="4:10">
      <c r="D411">
        <f t="shared" ca="1" si="30"/>
        <v>66.162485680056648</v>
      </c>
      <c r="E411">
        <f t="shared" ca="1" si="31"/>
        <v>1</v>
      </c>
      <c r="F411" s="84">
        <f t="shared" si="32"/>
        <v>75</v>
      </c>
      <c r="G411">
        <v>75</v>
      </c>
      <c r="H411">
        <v>0</v>
      </c>
      <c r="I411">
        <f t="shared" si="33"/>
        <v>1</v>
      </c>
      <c r="J411">
        <f t="shared" si="34"/>
        <v>2.4910689999999999E-2</v>
      </c>
    </row>
    <row r="412" spans="4:10">
      <c r="D412">
        <f t="shared" ca="1" si="30"/>
        <v>43.599680161180032</v>
      </c>
      <c r="E412">
        <f t="shared" ca="1" si="31"/>
        <v>1</v>
      </c>
      <c r="F412" s="84">
        <f t="shared" si="32"/>
        <v>45</v>
      </c>
      <c r="G412">
        <v>45</v>
      </c>
      <c r="H412">
        <v>1</v>
      </c>
      <c r="I412">
        <f t="shared" si="33"/>
        <v>1</v>
      </c>
      <c r="J412">
        <f t="shared" si="34"/>
        <v>7.9022999999999995E-4</v>
      </c>
    </row>
    <row r="413" spans="4:10">
      <c r="D413">
        <f t="shared" ca="1" si="30"/>
        <v>35.274289282979126</v>
      </c>
      <c r="E413">
        <f t="shared" ca="1" si="31"/>
        <v>1</v>
      </c>
      <c r="F413" s="84">
        <f t="shared" si="32"/>
        <v>68</v>
      </c>
      <c r="G413">
        <v>68</v>
      </c>
      <c r="H413">
        <v>1</v>
      </c>
      <c r="I413">
        <f t="shared" si="33"/>
        <v>1</v>
      </c>
      <c r="J413">
        <f t="shared" si="34"/>
        <v>5.5425099999999996E-3</v>
      </c>
    </row>
    <row r="414" spans="4:10">
      <c r="D414">
        <f t="shared" ca="1" si="30"/>
        <v>-1.4095028057153343</v>
      </c>
      <c r="E414">
        <f t="shared" ca="1" si="31"/>
        <v>1</v>
      </c>
      <c r="F414" s="84">
        <f t="shared" si="32"/>
        <v>48</v>
      </c>
      <c r="G414">
        <v>48</v>
      </c>
      <c r="H414">
        <v>1</v>
      </c>
      <c r="I414">
        <f t="shared" si="33"/>
        <v>1</v>
      </c>
      <c r="J414">
        <f t="shared" si="34"/>
        <v>1.0691400000000001E-3</v>
      </c>
    </row>
    <row r="415" spans="4:10">
      <c r="D415">
        <f t="shared" ca="1" si="30"/>
        <v>60.975970575685359</v>
      </c>
      <c r="E415">
        <f t="shared" ca="1" si="31"/>
        <v>1</v>
      </c>
      <c r="F415" s="84">
        <f t="shared" si="32"/>
        <v>25</v>
      </c>
      <c r="G415">
        <v>25</v>
      </c>
      <c r="H415">
        <v>1</v>
      </c>
      <c r="I415">
        <f t="shared" si="33"/>
        <v>1</v>
      </c>
      <c r="J415">
        <f t="shared" si="34"/>
        <v>2.8196999999999999E-4</v>
      </c>
    </row>
    <row r="416" spans="4:10">
      <c r="D416">
        <f t="shared" ca="1" si="30"/>
        <v>48.6668545102251</v>
      </c>
      <c r="E416">
        <f t="shared" ca="1" si="31"/>
        <v>1</v>
      </c>
      <c r="F416" s="84">
        <f t="shared" si="32"/>
        <v>60</v>
      </c>
      <c r="G416">
        <v>60</v>
      </c>
      <c r="H416">
        <v>1</v>
      </c>
      <c r="I416">
        <f t="shared" si="33"/>
        <v>1</v>
      </c>
      <c r="J416">
        <f t="shared" si="34"/>
        <v>3.06333E-3</v>
      </c>
    </row>
    <row r="417" spans="4:10">
      <c r="D417">
        <f t="shared" ca="1" si="30"/>
        <v>54.28506460776088</v>
      </c>
      <c r="E417">
        <f t="shared" ca="1" si="31"/>
        <v>0</v>
      </c>
      <c r="F417" s="84">
        <f t="shared" si="32"/>
        <v>51</v>
      </c>
      <c r="G417">
        <v>51</v>
      </c>
      <c r="H417">
        <v>1</v>
      </c>
      <c r="I417">
        <f t="shared" si="33"/>
        <v>1</v>
      </c>
      <c r="J417">
        <f t="shared" si="34"/>
        <v>1.4570900000000001E-3</v>
      </c>
    </row>
    <row r="418" spans="4:10">
      <c r="D418">
        <f t="shared" ca="1" si="30"/>
        <v>51.165963885258741</v>
      </c>
      <c r="E418">
        <f t="shared" ca="1" si="31"/>
        <v>0</v>
      </c>
      <c r="F418" s="84">
        <f t="shared" si="32"/>
        <v>39</v>
      </c>
      <c r="G418">
        <v>39</v>
      </c>
      <c r="H418">
        <v>1</v>
      </c>
      <c r="I418">
        <f t="shared" si="33"/>
        <v>1</v>
      </c>
      <c r="J418">
        <f t="shared" si="34"/>
        <v>4.8622999999999998E-4</v>
      </c>
    </row>
    <row r="419" spans="4:10">
      <c r="D419">
        <f t="shared" ca="1" si="30"/>
        <v>85.267176512272584</v>
      </c>
      <c r="E419">
        <f t="shared" ca="1" si="31"/>
        <v>1</v>
      </c>
      <c r="F419" s="84">
        <f t="shared" si="32"/>
        <v>33</v>
      </c>
      <c r="G419">
        <v>33</v>
      </c>
      <c r="H419">
        <v>0</v>
      </c>
      <c r="I419">
        <f t="shared" si="33"/>
        <v>1</v>
      </c>
      <c r="J419">
        <f t="shared" si="34"/>
        <v>6.6432000000000004E-4</v>
      </c>
    </row>
    <row r="420" spans="4:10">
      <c r="D420">
        <f t="shared" ca="1" si="30"/>
        <v>58.174496881760504</v>
      </c>
      <c r="E420">
        <f t="shared" ca="1" si="31"/>
        <v>1</v>
      </c>
      <c r="F420" s="84">
        <f t="shared" si="32"/>
        <v>93</v>
      </c>
      <c r="G420">
        <v>93</v>
      </c>
      <c r="H420">
        <v>0</v>
      </c>
      <c r="I420">
        <f t="shared" si="33"/>
        <v>1</v>
      </c>
      <c r="J420">
        <f t="shared" si="34"/>
        <v>0.13707069999999999</v>
      </c>
    </row>
    <row r="421" spans="4:10">
      <c r="D421">
        <f t="shared" ca="1" si="30"/>
        <v>51.766851404991847</v>
      </c>
      <c r="E421">
        <f t="shared" ca="1" si="31"/>
        <v>1</v>
      </c>
      <c r="F421" s="84">
        <f t="shared" si="32"/>
        <v>33</v>
      </c>
      <c r="G421">
        <v>33</v>
      </c>
      <c r="H421">
        <v>1</v>
      </c>
      <c r="I421">
        <f t="shared" si="33"/>
        <v>1</v>
      </c>
      <c r="J421">
        <f t="shared" si="34"/>
        <v>3.1915999999999997E-4</v>
      </c>
    </row>
    <row r="422" spans="4:10">
      <c r="D422">
        <f t="shared" ca="1" si="30"/>
        <v>14.750477526089689</v>
      </c>
      <c r="E422">
        <f t="shared" ca="1" si="31"/>
        <v>1</v>
      </c>
      <c r="F422" s="84">
        <f t="shared" si="32"/>
        <v>83</v>
      </c>
      <c r="G422">
        <v>83</v>
      </c>
      <c r="H422">
        <v>1</v>
      </c>
      <c r="I422">
        <f t="shared" si="33"/>
        <v>1</v>
      </c>
      <c r="J422">
        <f t="shared" si="34"/>
        <v>3.5487459999999998E-2</v>
      </c>
    </row>
    <row r="423" spans="4:10">
      <c r="D423">
        <f t="shared" ca="1" si="30"/>
        <v>23.810378620073518</v>
      </c>
      <c r="E423">
        <f t="shared" ca="1" si="31"/>
        <v>1</v>
      </c>
      <c r="F423" s="84">
        <f t="shared" si="32"/>
        <v>45</v>
      </c>
      <c r="G423">
        <v>45</v>
      </c>
      <c r="H423">
        <v>1</v>
      </c>
      <c r="I423">
        <f t="shared" si="33"/>
        <v>1</v>
      </c>
      <c r="J423">
        <f t="shared" si="34"/>
        <v>7.9022999999999995E-4</v>
      </c>
    </row>
    <row r="424" spans="4:10">
      <c r="D424">
        <f t="shared" ca="1" si="30"/>
        <v>43.013427283630065</v>
      </c>
      <c r="E424">
        <f t="shared" ca="1" si="31"/>
        <v>0</v>
      </c>
      <c r="F424" s="84">
        <f t="shared" si="32"/>
        <v>24</v>
      </c>
      <c r="G424">
        <v>24</v>
      </c>
      <c r="H424">
        <v>0</v>
      </c>
      <c r="I424">
        <f t="shared" si="33"/>
        <v>1</v>
      </c>
      <c r="J424">
        <f t="shared" si="34"/>
        <v>3.3712E-4</v>
      </c>
    </row>
    <row r="425" spans="4:10">
      <c r="D425">
        <f t="shared" ca="1" si="30"/>
        <v>25.757663351150757</v>
      </c>
      <c r="E425">
        <f t="shared" ca="1" si="31"/>
        <v>1</v>
      </c>
      <c r="F425" s="84">
        <f t="shared" si="32"/>
        <v>57</v>
      </c>
      <c r="G425">
        <v>57</v>
      </c>
      <c r="H425">
        <v>1</v>
      </c>
      <c r="I425">
        <f t="shared" si="33"/>
        <v>1</v>
      </c>
      <c r="J425">
        <f t="shared" si="34"/>
        <v>2.4432899999999999E-3</v>
      </c>
    </row>
    <row r="426" spans="4:10">
      <c r="D426">
        <f t="shared" ca="1" si="30"/>
        <v>50.095146711777993</v>
      </c>
      <c r="E426">
        <f t="shared" ca="1" si="31"/>
        <v>1</v>
      </c>
      <c r="F426" s="84">
        <f t="shared" si="32"/>
        <v>30</v>
      </c>
      <c r="G426">
        <v>30</v>
      </c>
      <c r="H426">
        <v>1</v>
      </c>
      <c r="I426">
        <f t="shared" si="33"/>
        <v>1</v>
      </c>
      <c r="J426">
        <f t="shared" si="34"/>
        <v>3.1370999999999998E-4</v>
      </c>
    </row>
    <row r="427" spans="4:10">
      <c r="D427">
        <f t="shared" ca="1" si="30"/>
        <v>12.873900633534895</v>
      </c>
      <c r="E427">
        <f t="shared" ca="1" si="31"/>
        <v>1</v>
      </c>
      <c r="F427" s="84">
        <f t="shared" si="32"/>
        <v>52</v>
      </c>
      <c r="G427">
        <v>52</v>
      </c>
      <c r="H427">
        <v>0</v>
      </c>
      <c r="I427">
        <f t="shared" si="33"/>
        <v>1</v>
      </c>
      <c r="J427">
        <f t="shared" si="34"/>
        <v>3.3874700000000001E-3</v>
      </c>
    </row>
    <row r="428" spans="4:10">
      <c r="D428">
        <f t="shared" ca="1" si="30"/>
        <v>45.792299246397668</v>
      </c>
      <c r="E428">
        <f t="shared" ca="1" si="31"/>
        <v>1</v>
      </c>
      <c r="F428" s="84">
        <f t="shared" si="32"/>
        <v>61</v>
      </c>
      <c r="G428">
        <v>61</v>
      </c>
      <c r="H428">
        <v>1</v>
      </c>
      <c r="I428">
        <f t="shared" si="33"/>
        <v>1</v>
      </c>
      <c r="J428">
        <f t="shared" si="34"/>
        <v>3.2876200000000002E-3</v>
      </c>
    </row>
    <row r="429" spans="4:10">
      <c r="D429">
        <f t="shared" ca="1" si="30"/>
        <v>66.338119980489608</v>
      </c>
      <c r="E429">
        <f t="shared" ca="1" si="31"/>
        <v>1</v>
      </c>
      <c r="F429" s="84">
        <f t="shared" si="32"/>
        <v>63</v>
      </c>
      <c r="G429">
        <v>63</v>
      </c>
      <c r="H429">
        <v>1</v>
      </c>
      <c r="I429">
        <f t="shared" si="33"/>
        <v>1</v>
      </c>
      <c r="J429">
        <f t="shared" si="34"/>
        <v>3.7797199999999999E-3</v>
      </c>
    </row>
    <row r="430" spans="4:10">
      <c r="D430">
        <f t="shared" ca="1" si="30"/>
        <v>41.554179292335249</v>
      </c>
      <c r="E430">
        <f t="shared" ca="1" si="31"/>
        <v>1</v>
      </c>
      <c r="F430" s="84">
        <f t="shared" si="32"/>
        <v>44</v>
      </c>
      <c r="G430">
        <v>44</v>
      </c>
      <c r="H430">
        <v>1</v>
      </c>
      <c r="I430">
        <f t="shared" si="33"/>
        <v>1</v>
      </c>
      <c r="J430">
        <f t="shared" si="34"/>
        <v>7.2154999999999995E-4</v>
      </c>
    </row>
    <row r="431" spans="4:10">
      <c r="D431">
        <f t="shared" ca="1" si="30"/>
        <v>53.854612707545307</v>
      </c>
      <c r="E431">
        <f t="shared" ca="1" si="31"/>
        <v>1</v>
      </c>
      <c r="F431" s="84">
        <f t="shared" si="32"/>
        <v>19</v>
      </c>
      <c r="G431">
        <v>19</v>
      </c>
      <c r="H431">
        <v>1</v>
      </c>
      <c r="I431">
        <f t="shared" si="33"/>
        <v>1</v>
      </c>
      <c r="J431">
        <f t="shared" si="34"/>
        <v>1.5410000000000001E-4</v>
      </c>
    </row>
    <row r="432" spans="4:10">
      <c r="D432">
        <f t="shared" ca="1" si="30"/>
        <v>58.718918200117237</v>
      </c>
      <c r="E432">
        <f t="shared" ca="1" si="31"/>
        <v>1</v>
      </c>
      <c r="F432" s="84">
        <f t="shared" si="32"/>
        <v>44</v>
      </c>
      <c r="G432">
        <v>44</v>
      </c>
      <c r="H432">
        <v>1</v>
      </c>
      <c r="I432">
        <f t="shared" si="33"/>
        <v>1</v>
      </c>
      <c r="J432">
        <f t="shared" si="34"/>
        <v>7.2154999999999995E-4</v>
      </c>
    </row>
    <row r="433" spans="4:10">
      <c r="D433">
        <f t="shared" ca="1" si="30"/>
        <v>8.027869247248681</v>
      </c>
      <c r="E433">
        <f t="shared" ca="1" si="31"/>
        <v>0</v>
      </c>
      <c r="F433" s="84">
        <f t="shared" si="32"/>
        <v>85</v>
      </c>
      <c r="G433">
        <v>85</v>
      </c>
      <c r="H433">
        <v>1</v>
      </c>
      <c r="I433">
        <f t="shared" si="33"/>
        <v>1</v>
      </c>
      <c r="J433">
        <f t="shared" si="34"/>
        <v>4.4736579999999998E-2</v>
      </c>
    </row>
    <row r="434" spans="4:10">
      <c r="D434">
        <f t="shared" ca="1" si="30"/>
        <v>30.024397704901826</v>
      </c>
      <c r="E434">
        <f t="shared" ca="1" si="31"/>
        <v>1</v>
      </c>
      <c r="F434" s="84">
        <f t="shared" si="32"/>
        <v>71</v>
      </c>
      <c r="G434">
        <v>71</v>
      </c>
      <c r="H434">
        <v>1</v>
      </c>
      <c r="I434">
        <f t="shared" si="33"/>
        <v>1</v>
      </c>
      <c r="J434">
        <f t="shared" si="34"/>
        <v>7.4666999999999997E-3</v>
      </c>
    </row>
    <row r="435" spans="4:10">
      <c r="D435">
        <f t="shared" ca="1" si="30"/>
        <v>39.574484191637914</v>
      </c>
      <c r="E435">
        <f t="shared" ca="1" si="31"/>
        <v>0</v>
      </c>
      <c r="F435" s="84">
        <f t="shared" si="32"/>
        <v>29</v>
      </c>
      <c r="G435">
        <v>29</v>
      </c>
      <c r="H435">
        <v>0</v>
      </c>
      <c r="I435">
        <f t="shared" si="33"/>
        <v>1</v>
      </c>
      <c r="J435">
        <f t="shared" si="34"/>
        <v>5.2287999999999998E-4</v>
      </c>
    </row>
    <row r="436" spans="4:10">
      <c r="D436">
        <f t="shared" ca="1" si="30"/>
        <v>28.76420987729708</v>
      </c>
      <c r="E436">
        <f t="shared" ca="1" si="31"/>
        <v>0</v>
      </c>
      <c r="F436" s="84">
        <f t="shared" si="32"/>
        <v>49</v>
      </c>
      <c r="G436">
        <v>49</v>
      </c>
      <c r="H436">
        <v>1</v>
      </c>
      <c r="I436">
        <f t="shared" si="33"/>
        <v>1</v>
      </c>
      <c r="J436">
        <f t="shared" si="34"/>
        <v>1.1877400000000001E-3</v>
      </c>
    </row>
    <row r="437" spans="4:10">
      <c r="D437">
        <f t="shared" ca="1" si="30"/>
        <v>34.547926461205023</v>
      </c>
      <c r="E437">
        <f t="shared" ca="1" si="31"/>
        <v>1</v>
      </c>
      <c r="F437" s="84">
        <f t="shared" si="32"/>
        <v>5</v>
      </c>
      <c r="G437">
        <v>5</v>
      </c>
      <c r="H437">
        <v>0</v>
      </c>
      <c r="I437">
        <f t="shared" si="33"/>
        <v>0</v>
      </c>
      <c r="J437">
        <f t="shared" si="34"/>
        <v>9.0649999999999994E-5</v>
      </c>
    </row>
    <row r="438" spans="4:10">
      <c r="D438">
        <f t="shared" ca="1" si="30"/>
        <v>10.891396871258834</v>
      </c>
      <c r="E438">
        <f t="shared" ca="1" si="31"/>
        <v>1</v>
      </c>
      <c r="F438" s="84">
        <f t="shared" si="32"/>
        <v>30</v>
      </c>
      <c r="G438">
        <v>30</v>
      </c>
      <c r="H438">
        <v>0</v>
      </c>
      <c r="I438">
        <f t="shared" si="33"/>
        <v>1</v>
      </c>
      <c r="J438">
        <f t="shared" si="34"/>
        <v>5.5917E-4</v>
      </c>
    </row>
    <row r="439" spans="4:10">
      <c r="D439">
        <f t="shared" ca="1" si="30"/>
        <v>49.247641408239879</v>
      </c>
      <c r="E439">
        <f t="shared" ca="1" si="31"/>
        <v>1</v>
      </c>
      <c r="F439" s="84">
        <f t="shared" si="32"/>
        <v>39</v>
      </c>
      <c r="G439">
        <v>39</v>
      </c>
      <c r="H439">
        <v>1</v>
      </c>
      <c r="I439">
        <f t="shared" si="33"/>
        <v>1</v>
      </c>
      <c r="J439">
        <f t="shared" si="34"/>
        <v>4.8622999999999998E-4</v>
      </c>
    </row>
    <row r="440" spans="4:10">
      <c r="D440">
        <f t="shared" ca="1" si="30"/>
        <v>-2.3790050632830955</v>
      </c>
      <c r="E440">
        <f t="shared" ca="1" si="31"/>
        <v>0</v>
      </c>
      <c r="F440" s="84">
        <f t="shared" si="32"/>
        <v>26</v>
      </c>
      <c r="G440">
        <v>26</v>
      </c>
      <c r="H440">
        <v>0</v>
      </c>
      <c r="I440">
        <f t="shared" si="33"/>
        <v>1</v>
      </c>
      <c r="J440">
        <f t="shared" si="34"/>
        <v>4.0611E-4</v>
      </c>
    </row>
    <row r="441" spans="4:10">
      <c r="D441">
        <f t="shared" ca="1" si="30"/>
        <v>19.47213942016954</v>
      </c>
      <c r="E441">
        <f t="shared" ca="1" si="31"/>
        <v>1</v>
      </c>
      <c r="F441" s="84">
        <f t="shared" si="32"/>
        <v>89</v>
      </c>
      <c r="G441">
        <v>89</v>
      </c>
      <c r="H441">
        <v>0</v>
      </c>
      <c r="I441">
        <f t="shared" si="33"/>
        <v>1</v>
      </c>
      <c r="J441">
        <f t="shared" si="34"/>
        <v>9.7483180000000003E-2</v>
      </c>
    </row>
    <row r="442" spans="4:10">
      <c r="D442">
        <f t="shared" ca="1" si="30"/>
        <v>39.019340917817786</v>
      </c>
      <c r="E442">
        <f t="shared" ca="1" si="31"/>
        <v>0</v>
      </c>
      <c r="F442" s="84">
        <f t="shared" si="32"/>
        <v>34</v>
      </c>
      <c r="G442">
        <v>34</v>
      </c>
      <c r="H442">
        <v>1</v>
      </c>
      <c r="I442">
        <f t="shared" si="33"/>
        <v>1</v>
      </c>
      <c r="J442">
        <f t="shared" si="34"/>
        <v>3.3452999999999998E-4</v>
      </c>
    </row>
    <row r="443" spans="4:10">
      <c r="D443">
        <f t="shared" ca="1" si="30"/>
        <v>46.251007529565875</v>
      </c>
      <c r="E443">
        <f t="shared" ca="1" si="31"/>
        <v>1</v>
      </c>
      <c r="F443" s="84">
        <f t="shared" si="32"/>
        <v>48</v>
      </c>
      <c r="G443">
        <v>48</v>
      </c>
      <c r="H443">
        <v>0</v>
      </c>
      <c r="I443">
        <f t="shared" si="33"/>
        <v>1</v>
      </c>
      <c r="J443">
        <f t="shared" si="34"/>
        <v>2.4474599999999998E-3</v>
      </c>
    </row>
    <row r="444" spans="4:10">
      <c r="D444">
        <f t="shared" ca="1" si="30"/>
        <v>54.959044632487419</v>
      </c>
      <c r="E444">
        <f t="shared" ca="1" si="31"/>
        <v>1</v>
      </c>
      <c r="F444" s="84">
        <f t="shared" si="32"/>
        <v>44</v>
      </c>
      <c r="G444">
        <v>44</v>
      </c>
      <c r="H444">
        <v>0</v>
      </c>
      <c r="I444">
        <f t="shared" si="33"/>
        <v>1</v>
      </c>
      <c r="J444">
        <f t="shared" si="34"/>
        <v>1.5861E-3</v>
      </c>
    </row>
    <row r="445" spans="4:10">
      <c r="D445">
        <f t="shared" ca="1" si="30"/>
        <v>16.586099559250197</v>
      </c>
      <c r="E445">
        <f t="shared" ca="1" si="31"/>
        <v>1</v>
      </c>
      <c r="F445" s="84">
        <f t="shared" si="32"/>
        <v>26</v>
      </c>
      <c r="G445">
        <v>26</v>
      </c>
      <c r="H445">
        <v>1</v>
      </c>
      <c r="I445">
        <f t="shared" si="33"/>
        <v>1</v>
      </c>
      <c r="J445">
        <f t="shared" si="34"/>
        <v>3.0111E-4</v>
      </c>
    </row>
    <row r="446" spans="4:10">
      <c r="D446">
        <f t="shared" ca="1" si="30"/>
        <v>45.939060446056843</v>
      </c>
      <c r="E446">
        <f t="shared" ca="1" si="31"/>
        <v>1</v>
      </c>
      <c r="F446" s="84">
        <f t="shared" si="32"/>
        <v>54</v>
      </c>
      <c r="G446">
        <v>54</v>
      </c>
      <c r="H446">
        <v>1</v>
      </c>
      <c r="I446">
        <f t="shared" si="33"/>
        <v>1</v>
      </c>
      <c r="J446">
        <f t="shared" si="34"/>
        <v>1.9186400000000001E-3</v>
      </c>
    </row>
    <row r="447" spans="4:10">
      <c r="D447">
        <f t="shared" ca="1" si="30"/>
        <v>34.608210605915133</v>
      </c>
      <c r="E447">
        <f t="shared" ca="1" si="31"/>
        <v>0</v>
      </c>
      <c r="F447" s="84">
        <f t="shared" si="32"/>
        <v>71</v>
      </c>
      <c r="G447">
        <v>71</v>
      </c>
      <c r="H447">
        <v>1</v>
      </c>
      <c r="I447">
        <f t="shared" si="33"/>
        <v>1</v>
      </c>
      <c r="J447">
        <f t="shared" si="34"/>
        <v>7.4666999999999997E-3</v>
      </c>
    </row>
    <row r="448" spans="4:10">
      <c r="D448">
        <f t="shared" ca="1" si="30"/>
        <v>36.686928290979139</v>
      </c>
      <c r="E448">
        <f t="shared" ca="1" si="31"/>
        <v>1</v>
      </c>
      <c r="F448" s="84">
        <f t="shared" si="32"/>
        <v>90</v>
      </c>
      <c r="G448">
        <v>90</v>
      </c>
      <c r="H448">
        <v>1</v>
      </c>
      <c r="I448">
        <f t="shared" si="33"/>
        <v>1</v>
      </c>
      <c r="J448">
        <f t="shared" si="34"/>
        <v>7.8683820000000002E-2</v>
      </c>
    </row>
    <row r="449" spans="4:10">
      <c r="D449">
        <f t="shared" ca="1" si="30"/>
        <v>58.660634200719848</v>
      </c>
      <c r="E449">
        <f t="shared" ca="1" si="31"/>
        <v>0</v>
      </c>
      <c r="F449" s="84">
        <f t="shared" si="32"/>
        <v>72</v>
      </c>
      <c r="G449">
        <v>72</v>
      </c>
      <c r="H449">
        <v>1</v>
      </c>
      <c r="I449">
        <f t="shared" si="33"/>
        <v>1</v>
      </c>
      <c r="J449">
        <f t="shared" si="34"/>
        <v>8.34792E-3</v>
      </c>
    </row>
    <row r="450" spans="4:10">
      <c r="D450">
        <f t="shared" ref="D450:D513" ca="1" si="35">NORMINV(RAND(), mean_age, sd_age)</f>
        <v>72.682082589088267</v>
      </c>
      <c r="E450">
        <f t="shared" ref="E450:E513" ca="1" si="36">_xlfn.BINOM.INV(1, prop_female, RAND())</f>
        <v>1</v>
      </c>
      <c r="F450" s="84">
        <f t="shared" ref="F450:F513" si="37">ROUND(G450,0)</f>
        <v>31</v>
      </c>
      <c r="G450">
        <v>31</v>
      </c>
      <c r="H450">
        <v>1</v>
      </c>
      <c r="I450">
        <f t="shared" ref="I450:I513" si="38">IF(G450&lt;18, 0, 1)</f>
        <v>1</v>
      </c>
      <c r="J450">
        <f t="shared" ref="J450:J513" si="39">IF(H450=0,VLOOKUP(G450,$M$2:$O$102,2,TRUE),VLOOKUP(G450,$M$2:$O$102,3,TRUE))</f>
        <v>3.1021E-4</v>
      </c>
    </row>
    <row r="451" spans="4:10">
      <c r="D451">
        <f t="shared" ca="1" si="35"/>
        <v>68.610962320268442</v>
      </c>
      <c r="E451">
        <f t="shared" ca="1" si="36"/>
        <v>0</v>
      </c>
      <c r="F451" s="84">
        <f t="shared" si="37"/>
        <v>52</v>
      </c>
      <c r="G451">
        <v>52</v>
      </c>
      <c r="H451">
        <v>0</v>
      </c>
      <c r="I451">
        <f t="shared" si="38"/>
        <v>1</v>
      </c>
      <c r="J451">
        <f t="shared" si="39"/>
        <v>3.3874700000000001E-3</v>
      </c>
    </row>
    <row r="452" spans="4:10">
      <c r="D452">
        <f t="shared" ca="1" si="35"/>
        <v>40.552748378054524</v>
      </c>
      <c r="E452">
        <f t="shared" ca="1" si="36"/>
        <v>1</v>
      </c>
      <c r="F452" s="84">
        <f t="shared" si="37"/>
        <v>87</v>
      </c>
      <c r="G452">
        <v>87</v>
      </c>
      <c r="H452">
        <v>1</v>
      </c>
      <c r="I452">
        <f t="shared" si="38"/>
        <v>1</v>
      </c>
      <c r="J452">
        <f t="shared" si="39"/>
        <v>5.6218829999999997E-2</v>
      </c>
    </row>
    <row r="453" spans="4:10">
      <c r="D453">
        <f t="shared" ca="1" si="35"/>
        <v>63.009424549873017</v>
      </c>
      <c r="E453">
        <f t="shared" ca="1" si="36"/>
        <v>0</v>
      </c>
      <c r="F453" s="84">
        <f t="shared" si="37"/>
        <v>47</v>
      </c>
      <c r="G453">
        <v>47</v>
      </c>
      <c r="H453">
        <v>1</v>
      </c>
      <c r="I453">
        <f t="shared" si="38"/>
        <v>1</v>
      </c>
      <c r="J453">
        <f t="shared" si="39"/>
        <v>9.6336999999999996E-4</v>
      </c>
    </row>
    <row r="454" spans="4:10">
      <c r="D454">
        <f t="shared" ca="1" si="35"/>
        <v>16.498463415890704</v>
      </c>
      <c r="E454">
        <f t="shared" ca="1" si="36"/>
        <v>1</v>
      </c>
      <c r="F454" s="84">
        <f t="shared" si="37"/>
        <v>62</v>
      </c>
      <c r="G454">
        <v>62</v>
      </c>
      <c r="H454">
        <v>1</v>
      </c>
      <c r="I454">
        <f t="shared" si="38"/>
        <v>1</v>
      </c>
      <c r="J454">
        <f t="shared" si="39"/>
        <v>3.5238499999999998E-3</v>
      </c>
    </row>
    <row r="455" spans="4:10">
      <c r="D455">
        <f t="shared" ca="1" si="35"/>
        <v>59.062996698675789</v>
      </c>
      <c r="E455">
        <f t="shared" ca="1" si="36"/>
        <v>1</v>
      </c>
      <c r="F455" s="84">
        <f t="shared" si="37"/>
        <v>52</v>
      </c>
      <c r="G455">
        <v>52</v>
      </c>
      <c r="H455">
        <v>1</v>
      </c>
      <c r="I455">
        <f t="shared" si="38"/>
        <v>1</v>
      </c>
      <c r="J455">
        <f t="shared" si="39"/>
        <v>1.60396E-3</v>
      </c>
    </row>
    <row r="456" spans="4:10">
      <c r="D456">
        <f t="shared" ca="1" si="35"/>
        <v>57.615367796469684</v>
      </c>
      <c r="E456">
        <f t="shared" ca="1" si="36"/>
        <v>0</v>
      </c>
      <c r="F456" s="84">
        <f t="shared" si="37"/>
        <v>47</v>
      </c>
      <c r="G456">
        <v>47</v>
      </c>
      <c r="H456">
        <v>1</v>
      </c>
      <c r="I456">
        <f t="shared" si="38"/>
        <v>1</v>
      </c>
      <c r="J456">
        <f t="shared" si="39"/>
        <v>9.6336999999999996E-4</v>
      </c>
    </row>
    <row r="457" spans="4:10">
      <c r="D457">
        <f t="shared" ca="1" si="35"/>
        <v>68.665040368377944</v>
      </c>
      <c r="E457">
        <f t="shared" ca="1" si="36"/>
        <v>1</v>
      </c>
      <c r="F457" s="84">
        <f t="shared" si="37"/>
        <v>4</v>
      </c>
      <c r="G457">
        <v>4</v>
      </c>
      <c r="H457">
        <v>1</v>
      </c>
      <c r="I457">
        <f t="shared" si="38"/>
        <v>0</v>
      </c>
      <c r="J457">
        <f t="shared" si="39"/>
        <v>9.6349999999999997E-5</v>
      </c>
    </row>
    <row r="458" spans="4:10">
      <c r="D458">
        <f t="shared" ca="1" si="35"/>
        <v>48.288572512692681</v>
      </c>
      <c r="E458">
        <f t="shared" ca="1" si="36"/>
        <v>1</v>
      </c>
      <c r="F458" s="84">
        <f t="shared" si="37"/>
        <v>48</v>
      </c>
      <c r="G458">
        <v>48</v>
      </c>
      <c r="H458">
        <v>1</v>
      </c>
      <c r="I458">
        <f t="shared" si="38"/>
        <v>1</v>
      </c>
      <c r="J458">
        <f t="shared" si="39"/>
        <v>1.0691400000000001E-3</v>
      </c>
    </row>
    <row r="459" spans="4:10">
      <c r="D459">
        <f t="shared" ca="1" si="35"/>
        <v>34.107857046677168</v>
      </c>
      <c r="E459">
        <f t="shared" ca="1" si="36"/>
        <v>1</v>
      </c>
      <c r="F459" s="84">
        <f t="shared" si="37"/>
        <v>24</v>
      </c>
      <c r="G459">
        <v>24</v>
      </c>
      <c r="H459">
        <v>1</v>
      </c>
      <c r="I459">
        <f t="shared" si="38"/>
        <v>1</v>
      </c>
      <c r="J459">
        <f t="shared" si="39"/>
        <v>2.5754E-4</v>
      </c>
    </row>
    <row r="460" spans="4:10">
      <c r="D460">
        <f t="shared" ca="1" si="35"/>
        <v>42.527998134860695</v>
      </c>
      <c r="E460">
        <f t="shared" ca="1" si="36"/>
        <v>1</v>
      </c>
      <c r="F460" s="84">
        <f t="shared" si="37"/>
        <v>26</v>
      </c>
      <c r="G460">
        <v>26</v>
      </c>
      <c r="H460">
        <v>1</v>
      </c>
      <c r="I460">
        <f t="shared" si="38"/>
        <v>1</v>
      </c>
      <c r="J460">
        <f t="shared" si="39"/>
        <v>3.0111E-4</v>
      </c>
    </row>
    <row r="461" spans="4:10">
      <c r="D461">
        <f t="shared" ca="1" si="35"/>
        <v>31.437409394724988</v>
      </c>
      <c r="E461">
        <f t="shared" ca="1" si="36"/>
        <v>1</v>
      </c>
      <c r="F461" s="84">
        <f t="shared" si="37"/>
        <v>42</v>
      </c>
      <c r="G461">
        <v>42</v>
      </c>
      <c r="H461">
        <v>1</v>
      </c>
      <c r="I461">
        <f t="shared" si="38"/>
        <v>1</v>
      </c>
      <c r="J461">
        <f t="shared" si="39"/>
        <v>6.1160999999999995E-4</v>
      </c>
    </row>
    <row r="462" spans="4:10">
      <c r="D462">
        <f t="shared" ca="1" si="35"/>
        <v>80.37368885585883</v>
      </c>
      <c r="E462">
        <f t="shared" ca="1" si="36"/>
        <v>0</v>
      </c>
      <c r="F462" s="84">
        <f t="shared" si="37"/>
        <v>32</v>
      </c>
      <c r="G462">
        <v>32</v>
      </c>
      <c r="H462">
        <v>1</v>
      </c>
      <c r="I462">
        <f t="shared" si="38"/>
        <v>1</v>
      </c>
      <c r="J462">
        <f t="shared" si="39"/>
        <v>3.1137E-4</v>
      </c>
    </row>
    <row r="463" spans="4:10">
      <c r="D463">
        <f t="shared" ca="1" si="35"/>
        <v>38.526264280748158</v>
      </c>
      <c r="E463">
        <f t="shared" ca="1" si="36"/>
        <v>1</v>
      </c>
      <c r="F463" s="84">
        <f t="shared" si="37"/>
        <v>40</v>
      </c>
      <c r="G463">
        <v>40</v>
      </c>
      <c r="H463">
        <v>1</v>
      </c>
      <c r="I463">
        <f t="shared" si="38"/>
        <v>1</v>
      </c>
      <c r="J463">
        <f t="shared" si="39"/>
        <v>5.2483E-4</v>
      </c>
    </row>
    <row r="464" spans="4:10">
      <c r="D464">
        <f t="shared" ca="1" si="35"/>
        <v>38.151232372653084</v>
      </c>
      <c r="E464">
        <f t="shared" ca="1" si="36"/>
        <v>1</v>
      </c>
      <c r="F464" s="84">
        <f t="shared" si="37"/>
        <v>46</v>
      </c>
      <c r="G464">
        <v>46</v>
      </c>
      <c r="H464">
        <v>1</v>
      </c>
      <c r="I464">
        <f t="shared" si="38"/>
        <v>1</v>
      </c>
      <c r="J464">
        <f t="shared" si="39"/>
        <v>8.7060000000000002E-4</v>
      </c>
    </row>
    <row r="465" spans="4:10">
      <c r="D465">
        <f t="shared" ca="1" si="35"/>
        <v>72.232438095698981</v>
      </c>
      <c r="E465">
        <f t="shared" ca="1" si="36"/>
        <v>1</v>
      </c>
      <c r="F465" s="84">
        <f t="shared" si="37"/>
        <v>32</v>
      </c>
      <c r="G465">
        <v>32</v>
      </c>
      <c r="H465">
        <v>1</v>
      </c>
      <c r="I465">
        <f t="shared" si="38"/>
        <v>1</v>
      </c>
      <c r="J465">
        <f t="shared" si="39"/>
        <v>3.1137E-4</v>
      </c>
    </row>
    <row r="466" spans="4:10">
      <c r="D466">
        <f t="shared" ca="1" si="35"/>
        <v>43.29993470745918</v>
      </c>
      <c r="E466">
        <f t="shared" ca="1" si="36"/>
        <v>0</v>
      </c>
      <c r="F466" s="84">
        <f t="shared" si="37"/>
        <v>44</v>
      </c>
      <c r="G466">
        <v>44</v>
      </c>
      <c r="H466">
        <v>0</v>
      </c>
      <c r="I466">
        <f t="shared" si="38"/>
        <v>1</v>
      </c>
      <c r="J466">
        <f t="shared" si="39"/>
        <v>1.5861E-3</v>
      </c>
    </row>
    <row r="467" spans="4:10">
      <c r="D467">
        <f t="shared" ca="1" si="35"/>
        <v>35.362224896899491</v>
      </c>
      <c r="E467">
        <f t="shared" ca="1" si="36"/>
        <v>0</v>
      </c>
      <c r="F467" s="84">
        <f t="shared" si="37"/>
        <v>35</v>
      </c>
      <c r="G467">
        <v>35</v>
      </c>
      <c r="H467">
        <v>1</v>
      </c>
      <c r="I467">
        <f t="shared" si="38"/>
        <v>1</v>
      </c>
      <c r="J467">
        <f t="shared" si="39"/>
        <v>3.5702999999999999E-4</v>
      </c>
    </row>
    <row r="468" spans="4:10">
      <c r="D468">
        <f t="shared" ca="1" si="35"/>
        <v>44.996244633701771</v>
      </c>
      <c r="E468">
        <f t="shared" ca="1" si="36"/>
        <v>0</v>
      </c>
      <c r="F468" s="84">
        <f t="shared" si="37"/>
        <v>39</v>
      </c>
      <c r="G468">
        <v>39</v>
      </c>
      <c r="H468">
        <v>1</v>
      </c>
      <c r="I468">
        <f t="shared" si="38"/>
        <v>1</v>
      </c>
      <c r="J468">
        <f t="shared" si="39"/>
        <v>4.8622999999999998E-4</v>
      </c>
    </row>
    <row r="469" spans="4:10">
      <c r="D469">
        <f t="shared" ca="1" si="35"/>
        <v>88.146131840021752</v>
      </c>
      <c r="E469">
        <f t="shared" ca="1" si="36"/>
        <v>1</v>
      </c>
      <c r="F469" s="84">
        <f t="shared" si="37"/>
        <v>32</v>
      </c>
      <c r="G469">
        <v>32</v>
      </c>
      <c r="H469">
        <v>1</v>
      </c>
      <c r="I469">
        <f t="shared" si="38"/>
        <v>1</v>
      </c>
      <c r="J469">
        <f t="shared" si="39"/>
        <v>3.1137E-4</v>
      </c>
    </row>
    <row r="470" spans="4:10">
      <c r="D470">
        <f t="shared" ca="1" si="35"/>
        <v>39.825451731076505</v>
      </c>
      <c r="E470">
        <f t="shared" ca="1" si="36"/>
        <v>1</v>
      </c>
      <c r="F470" s="84">
        <f t="shared" si="37"/>
        <v>56</v>
      </c>
      <c r="G470">
        <v>56</v>
      </c>
      <c r="H470">
        <v>1</v>
      </c>
      <c r="I470">
        <f t="shared" si="38"/>
        <v>1</v>
      </c>
      <c r="J470">
        <f t="shared" si="39"/>
        <v>2.2598000000000002E-3</v>
      </c>
    </row>
    <row r="471" spans="4:10">
      <c r="D471">
        <f t="shared" ca="1" si="35"/>
        <v>18.427714195507448</v>
      </c>
      <c r="E471">
        <f t="shared" ca="1" si="36"/>
        <v>1</v>
      </c>
      <c r="F471" s="84">
        <f t="shared" si="37"/>
        <v>82</v>
      </c>
      <c r="G471">
        <v>82</v>
      </c>
      <c r="H471">
        <v>0</v>
      </c>
      <c r="I471">
        <f t="shared" si="38"/>
        <v>1</v>
      </c>
      <c r="J471">
        <f t="shared" si="39"/>
        <v>5.2779779999999998E-2</v>
      </c>
    </row>
    <row r="472" spans="4:10">
      <c r="D472">
        <f t="shared" ca="1" si="35"/>
        <v>33.237795959937181</v>
      </c>
      <c r="E472">
        <f t="shared" ca="1" si="36"/>
        <v>0</v>
      </c>
      <c r="F472" s="84">
        <f t="shared" si="37"/>
        <v>27</v>
      </c>
      <c r="G472">
        <v>27</v>
      </c>
      <c r="H472">
        <v>0</v>
      </c>
      <c r="I472">
        <f t="shared" si="38"/>
        <v>1</v>
      </c>
      <c r="J472">
        <f t="shared" si="39"/>
        <v>4.4526E-4</v>
      </c>
    </row>
    <row r="473" spans="4:10">
      <c r="D473">
        <f t="shared" ca="1" si="35"/>
        <v>49.056877006869982</v>
      </c>
      <c r="E473">
        <f t="shared" ca="1" si="36"/>
        <v>1</v>
      </c>
      <c r="F473" s="84">
        <f t="shared" si="37"/>
        <v>66</v>
      </c>
      <c r="G473">
        <v>66</v>
      </c>
      <c r="H473">
        <v>1</v>
      </c>
      <c r="I473">
        <f t="shared" si="38"/>
        <v>1</v>
      </c>
      <c r="J473">
        <f t="shared" si="39"/>
        <v>4.7119800000000002E-3</v>
      </c>
    </row>
    <row r="474" spans="4:10">
      <c r="D474">
        <f t="shared" ca="1" si="35"/>
        <v>29.901768094311429</v>
      </c>
      <c r="E474">
        <f t="shared" ca="1" si="36"/>
        <v>1</v>
      </c>
      <c r="F474" s="84">
        <f t="shared" si="37"/>
        <v>42</v>
      </c>
      <c r="G474">
        <v>42</v>
      </c>
      <c r="H474">
        <v>1</v>
      </c>
      <c r="I474">
        <f t="shared" si="38"/>
        <v>1</v>
      </c>
      <c r="J474">
        <f t="shared" si="39"/>
        <v>6.1160999999999995E-4</v>
      </c>
    </row>
    <row r="475" spans="4:10">
      <c r="D475">
        <f t="shared" ca="1" si="35"/>
        <v>64.872845775045988</v>
      </c>
      <c r="E475">
        <f t="shared" ca="1" si="36"/>
        <v>0</v>
      </c>
      <c r="F475" s="84">
        <f t="shared" si="37"/>
        <v>76</v>
      </c>
      <c r="G475">
        <v>76</v>
      </c>
      <c r="H475">
        <v>1</v>
      </c>
      <c r="I475">
        <f t="shared" si="38"/>
        <v>1</v>
      </c>
      <c r="J475">
        <f t="shared" si="39"/>
        <v>1.3984959999999999E-2</v>
      </c>
    </row>
    <row r="476" spans="4:10">
      <c r="D476">
        <f t="shared" ca="1" si="35"/>
        <v>79.66531611972394</v>
      </c>
      <c r="E476">
        <f t="shared" ca="1" si="36"/>
        <v>1</v>
      </c>
      <c r="F476" s="84">
        <f t="shared" si="37"/>
        <v>50</v>
      </c>
      <c r="G476">
        <v>50</v>
      </c>
      <c r="H476">
        <v>0</v>
      </c>
      <c r="I476">
        <f t="shared" si="38"/>
        <v>1</v>
      </c>
      <c r="J476">
        <f t="shared" si="39"/>
        <v>2.92384E-3</v>
      </c>
    </row>
    <row r="477" spans="4:10">
      <c r="D477">
        <f t="shared" ca="1" si="35"/>
        <v>47.931841120606386</v>
      </c>
      <c r="E477">
        <f t="shared" ca="1" si="36"/>
        <v>1</v>
      </c>
      <c r="F477" s="84">
        <f t="shared" si="37"/>
        <v>77</v>
      </c>
      <c r="G477">
        <v>77</v>
      </c>
      <c r="H477">
        <v>0</v>
      </c>
      <c r="I477">
        <f t="shared" si="38"/>
        <v>1</v>
      </c>
      <c r="J477">
        <f t="shared" si="39"/>
        <v>3.1448959999999998E-2</v>
      </c>
    </row>
    <row r="478" spans="4:10">
      <c r="D478">
        <f t="shared" ca="1" si="35"/>
        <v>57.675379471157299</v>
      </c>
      <c r="E478">
        <f t="shared" ca="1" si="36"/>
        <v>1</v>
      </c>
      <c r="F478" s="84">
        <f t="shared" si="37"/>
        <v>49</v>
      </c>
      <c r="G478">
        <v>49</v>
      </c>
      <c r="H478">
        <v>0</v>
      </c>
      <c r="I478">
        <f t="shared" si="38"/>
        <v>1</v>
      </c>
      <c r="J478">
        <f t="shared" si="39"/>
        <v>2.6868700000000001E-3</v>
      </c>
    </row>
    <row r="479" spans="4:10">
      <c r="D479">
        <f t="shared" ca="1" si="35"/>
        <v>58.170798388242929</v>
      </c>
      <c r="E479">
        <f t="shared" ca="1" si="36"/>
        <v>1</v>
      </c>
      <c r="F479" s="84">
        <f t="shared" si="37"/>
        <v>13</v>
      </c>
      <c r="G479">
        <v>13</v>
      </c>
      <c r="H479">
        <v>1</v>
      </c>
      <c r="I479">
        <f t="shared" si="38"/>
        <v>0</v>
      </c>
      <c r="J479">
        <f t="shared" si="39"/>
        <v>1.2721999999999999E-4</v>
      </c>
    </row>
    <row r="480" spans="4:10">
      <c r="D480">
        <f t="shared" ca="1" si="35"/>
        <v>20.097152842664972</v>
      </c>
      <c r="E480">
        <f t="shared" ca="1" si="36"/>
        <v>1</v>
      </c>
      <c r="F480" s="84">
        <f t="shared" si="37"/>
        <v>48</v>
      </c>
      <c r="G480">
        <v>48</v>
      </c>
      <c r="H480">
        <v>0</v>
      </c>
      <c r="I480">
        <f t="shared" si="38"/>
        <v>1</v>
      </c>
      <c r="J480">
        <f t="shared" si="39"/>
        <v>2.4474599999999998E-3</v>
      </c>
    </row>
    <row r="481" spans="4:10">
      <c r="D481">
        <f t="shared" ca="1" si="35"/>
        <v>71.759685718898396</v>
      </c>
      <c r="E481">
        <f t="shared" ca="1" si="36"/>
        <v>1</v>
      </c>
      <c r="F481" s="84">
        <f t="shared" si="37"/>
        <v>73</v>
      </c>
      <c r="G481">
        <v>73</v>
      </c>
      <c r="H481">
        <v>1</v>
      </c>
      <c r="I481">
        <f t="shared" si="38"/>
        <v>1</v>
      </c>
      <c r="J481">
        <f t="shared" si="39"/>
        <v>9.4021599999999997E-3</v>
      </c>
    </row>
    <row r="482" spans="4:10">
      <c r="D482">
        <f t="shared" ca="1" si="35"/>
        <v>64.212670602253652</v>
      </c>
      <c r="E482">
        <f t="shared" ca="1" si="36"/>
        <v>1</v>
      </c>
      <c r="F482" s="84">
        <f t="shared" si="37"/>
        <v>13</v>
      </c>
      <c r="G482">
        <v>13</v>
      </c>
      <c r="H482">
        <v>1</v>
      </c>
      <c r="I482">
        <f t="shared" si="38"/>
        <v>0</v>
      </c>
      <c r="J482">
        <f t="shared" si="39"/>
        <v>1.2721999999999999E-4</v>
      </c>
    </row>
    <row r="483" spans="4:10">
      <c r="D483">
        <f t="shared" ca="1" si="35"/>
        <v>40.647767785819468</v>
      </c>
      <c r="E483">
        <f t="shared" ca="1" si="36"/>
        <v>1</v>
      </c>
      <c r="F483" s="84">
        <f t="shared" si="37"/>
        <v>54</v>
      </c>
      <c r="G483">
        <v>54</v>
      </c>
      <c r="H483">
        <v>1</v>
      </c>
      <c r="I483">
        <f t="shared" si="38"/>
        <v>1</v>
      </c>
      <c r="J483">
        <f t="shared" si="39"/>
        <v>1.9186400000000001E-3</v>
      </c>
    </row>
    <row r="484" spans="4:10">
      <c r="D484">
        <f t="shared" ca="1" si="35"/>
        <v>29.181045608113266</v>
      </c>
      <c r="E484">
        <f t="shared" ca="1" si="36"/>
        <v>1</v>
      </c>
      <c r="F484" s="84">
        <f t="shared" si="37"/>
        <v>9</v>
      </c>
      <c r="G484">
        <v>9</v>
      </c>
      <c r="H484">
        <v>1</v>
      </c>
      <c r="I484">
        <f t="shared" si="38"/>
        <v>0</v>
      </c>
      <c r="J484">
        <f t="shared" si="39"/>
        <v>1.0249E-4</v>
      </c>
    </row>
    <row r="485" spans="4:10">
      <c r="D485">
        <f t="shared" ca="1" si="35"/>
        <v>70.823308916558346</v>
      </c>
      <c r="E485">
        <f t="shared" ca="1" si="36"/>
        <v>1</v>
      </c>
      <c r="F485" s="84">
        <f t="shared" si="37"/>
        <v>75</v>
      </c>
      <c r="G485">
        <v>75</v>
      </c>
      <c r="H485">
        <v>1</v>
      </c>
      <c r="I485">
        <f t="shared" si="38"/>
        <v>1</v>
      </c>
      <c r="J485">
        <f t="shared" si="39"/>
        <v>1.2187669999999999E-2</v>
      </c>
    </row>
    <row r="486" spans="4:10">
      <c r="D486">
        <f t="shared" ca="1" si="35"/>
        <v>15.597665221961236</v>
      </c>
      <c r="E486">
        <f t="shared" ca="1" si="36"/>
        <v>1</v>
      </c>
      <c r="F486" s="84">
        <f t="shared" si="37"/>
        <v>31</v>
      </c>
      <c r="G486">
        <v>31</v>
      </c>
      <c r="H486">
        <v>1</v>
      </c>
      <c r="I486">
        <f t="shared" si="38"/>
        <v>1</v>
      </c>
      <c r="J486">
        <f t="shared" si="39"/>
        <v>3.1021E-4</v>
      </c>
    </row>
    <row r="487" spans="4:10">
      <c r="D487">
        <f t="shared" ca="1" si="35"/>
        <v>65.71724136779514</v>
      </c>
      <c r="E487">
        <f t="shared" ca="1" si="36"/>
        <v>1</v>
      </c>
      <c r="F487" s="84">
        <f t="shared" si="37"/>
        <v>37</v>
      </c>
      <c r="G487">
        <v>37</v>
      </c>
      <c r="H487">
        <v>1</v>
      </c>
      <c r="I487">
        <f t="shared" si="38"/>
        <v>1</v>
      </c>
      <c r="J487">
        <f t="shared" si="39"/>
        <v>4.1611000000000003E-4</v>
      </c>
    </row>
    <row r="488" spans="4:10">
      <c r="D488">
        <f t="shared" ca="1" si="35"/>
        <v>40.490027349906107</v>
      </c>
      <c r="E488">
        <f t="shared" ca="1" si="36"/>
        <v>1</v>
      </c>
      <c r="F488" s="84">
        <f t="shared" si="37"/>
        <v>56</v>
      </c>
      <c r="G488">
        <v>56</v>
      </c>
      <c r="H488">
        <v>1</v>
      </c>
      <c r="I488">
        <f t="shared" si="38"/>
        <v>1</v>
      </c>
      <c r="J488">
        <f t="shared" si="39"/>
        <v>2.2598000000000002E-3</v>
      </c>
    </row>
    <row r="489" spans="4:10">
      <c r="D489">
        <f t="shared" ca="1" si="35"/>
        <v>44.147757479896327</v>
      </c>
      <c r="E489">
        <f t="shared" ca="1" si="36"/>
        <v>1</v>
      </c>
      <c r="F489" s="84">
        <f t="shared" si="37"/>
        <v>69</v>
      </c>
      <c r="G489">
        <v>69</v>
      </c>
      <c r="H489">
        <v>0</v>
      </c>
      <c r="I489">
        <f t="shared" si="38"/>
        <v>1</v>
      </c>
      <c r="J489">
        <f t="shared" si="39"/>
        <v>1.299902E-2</v>
      </c>
    </row>
    <row r="490" spans="4:10">
      <c r="D490">
        <f t="shared" ca="1" si="35"/>
        <v>32.228877133916512</v>
      </c>
      <c r="E490">
        <f t="shared" ca="1" si="36"/>
        <v>1</v>
      </c>
      <c r="F490" s="84">
        <f t="shared" si="37"/>
        <v>65</v>
      </c>
      <c r="G490">
        <v>65</v>
      </c>
      <c r="H490">
        <v>1</v>
      </c>
      <c r="I490">
        <f t="shared" si="38"/>
        <v>1</v>
      </c>
      <c r="J490">
        <f t="shared" si="39"/>
        <v>4.3744200000000004E-3</v>
      </c>
    </row>
    <row r="491" spans="4:10">
      <c r="D491">
        <f t="shared" ca="1" si="35"/>
        <v>12.084331111611156</v>
      </c>
      <c r="E491">
        <f t="shared" ca="1" si="36"/>
        <v>1</v>
      </c>
      <c r="F491" s="84">
        <f t="shared" si="37"/>
        <v>34</v>
      </c>
      <c r="G491">
        <v>34</v>
      </c>
      <c r="H491">
        <v>0</v>
      </c>
      <c r="I491">
        <f t="shared" si="38"/>
        <v>1</v>
      </c>
      <c r="J491">
        <f t="shared" si="39"/>
        <v>7.0282000000000005E-4</v>
      </c>
    </row>
    <row r="492" spans="4:10">
      <c r="D492">
        <f t="shared" ca="1" si="35"/>
        <v>72.941385402518634</v>
      </c>
      <c r="E492">
        <f t="shared" ca="1" si="36"/>
        <v>1</v>
      </c>
      <c r="F492" s="84">
        <f t="shared" si="37"/>
        <v>46</v>
      </c>
      <c r="G492">
        <v>46</v>
      </c>
      <c r="H492">
        <v>1</v>
      </c>
      <c r="I492">
        <f t="shared" si="38"/>
        <v>1</v>
      </c>
      <c r="J492">
        <f t="shared" si="39"/>
        <v>8.7060000000000002E-4</v>
      </c>
    </row>
    <row r="493" spans="4:10">
      <c r="D493">
        <f t="shared" ca="1" si="35"/>
        <v>36.447171573295719</v>
      </c>
      <c r="E493">
        <f t="shared" ca="1" si="36"/>
        <v>1</v>
      </c>
      <c r="F493" s="84">
        <f t="shared" si="37"/>
        <v>38</v>
      </c>
      <c r="G493">
        <v>38</v>
      </c>
      <c r="H493">
        <v>1</v>
      </c>
      <c r="I493">
        <f t="shared" si="38"/>
        <v>1</v>
      </c>
      <c r="J493">
        <f t="shared" si="39"/>
        <v>4.4977E-4</v>
      </c>
    </row>
    <row r="494" spans="4:10">
      <c r="D494">
        <f t="shared" ca="1" si="35"/>
        <v>50.595318625665463</v>
      </c>
      <c r="E494">
        <f t="shared" ca="1" si="36"/>
        <v>1</v>
      </c>
      <c r="F494" s="84">
        <f t="shared" si="37"/>
        <v>48</v>
      </c>
      <c r="G494">
        <v>48</v>
      </c>
      <c r="H494">
        <v>1</v>
      </c>
      <c r="I494">
        <f t="shared" si="38"/>
        <v>1</v>
      </c>
      <c r="J494">
        <f t="shared" si="39"/>
        <v>1.0691400000000001E-3</v>
      </c>
    </row>
    <row r="495" spans="4:10">
      <c r="D495">
        <f t="shared" ca="1" si="35"/>
        <v>67.758980668733287</v>
      </c>
      <c r="E495">
        <f t="shared" ca="1" si="36"/>
        <v>0</v>
      </c>
      <c r="F495" s="84">
        <f t="shared" si="37"/>
        <v>46</v>
      </c>
      <c r="G495">
        <v>46</v>
      </c>
      <c r="H495">
        <v>1</v>
      </c>
      <c r="I495">
        <f t="shared" si="38"/>
        <v>1</v>
      </c>
      <c r="J495">
        <f t="shared" si="39"/>
        <v>8.7060000000000002E-4</v>
      </c>
    </row>
    <row r="496" spans="4:10">
      <c r="D496">
        <f t="shared" ca="1" si="35"/>
        <v>38.165673501558452</v>
      </c>
      <c r="E496">
        <f t="shared" ca="1" si="36"/>
        <v>1</v>
      </c>
      <c r="F496" s="84">
        <f t="shared" si="37"/>
        <v>60</v>
      </c>
      <c r="G496">
        <v>60</v>
      </c>
      <c r="H496">
        <v>1</v>
      </c>
      <c r="I496">
        <f t="shared" si="38"/>
        <v>1</v>
      </c>
      <c r="J496">
        <f t="shared" si="39"/>
        <v>3.06333E-3</v>
      </c>
    </row>
    <row r="497" spans="4:10">
      <c r="D497">
        <f t="shared" ca="1" si="35"/>
        <v>76.626177432591788</v>
      </c>
      <c r="E497">
        <f t="shared" ca="1" si="36"/>
        <v>0</v>
      </c>
      <c r="F497" s="84">
        <f t="shared" si="37"/>
        <v>57</v>
      </c>
      <c r="G497">
        <v>57</v>
      </c>
      <c r="H497">
        <v>1</v>
      </c>
      <c r="I497">
        <f t="shared" si="38"/>
        <v>1</v>
      </c>
      <c r="J497">
        <f t="shared" si="39"/>
        <v>2.4432899999999999E-3</v>
      </c>
    </row>
    <row r="498" spans="4:10">
      <c r="D498">
        <f t="shared" ca="1" si="35"/>
        <v>50.058001571113159</v>
      </c>
      <c r="E498">
        <f t="shared" ca="1" si="36"/>
        <v>1</v>
      </c>
      <c r="F498" s="84">
        <f t="shared" si="37"/>
        <v>37</v>
      </c>
      <c r="G498">
        <v>37</v>
      </c>
      <c r="H498">
        <v>1</v>
      </c>
      <c r="I498">
        <f t="shared" si="38"/>
        <v>1</v>
      </c>
      <c r="J498">
        <f t="shared" si="39"/>
        <v>4.1611000000000003E-4</v>
      </c>
    </row>
    <row r="499" spans="4:10">
      <c r="D499">
        <f t="shared" ca="1" si="35"/>
        <v>83.169681848105071</v>
      </c>
      <c r="E499">
        <f t="shared" ca="1" si="36"/>
        <v>1</v>
      </c>
      <c r="F499" s="84">
        <f t="shared" si="37"/>
        <v>51</v>
      </c>
      <c r="G499">
        <v>51</v>
      </c>
      <c r="H499">
        <v>1</v>
      </c>
      <c r="I499">
        <f t="shared" si="38"/>
        <v>1</v>
      </c>
      <c r="J499">
        <f t="shared" si="39"/>
        <v>1.4570900000000001E-3</v>
      </c>
    </row>
    <row r="500" spans="4:10">
      <c r="D500">
        <f t="shared" ca="1" si="35"/>
        <v>42.957184010622477</v>
      </c>
      <c r="E500">
        <f t="shared" ca="1" si="36"/>
        <v>1</v>
      </c>
      <c r="F500" s="84">
        <f t="shared" si="37"/>
        <v>68</v>
      </c>
      <c r="G500">
        <v>68</v>
      </c>
      <c r="H500">
        <v>0</v>
      </c>
      <c r="I500">
        <f t="shared" si="38"/>
        <v>1</v>
      </c>
      <c r="J500">
        <f t="shared" si="39"/>
        <v>1.192709E-2</v>
      </c>
    </row>
    <row r="501" spans="4:10">
      <c r="D501">
        <f t="shared" ca="1" si="35"/>
        <v>52.916790144277229</v>
      </c>
      <c r="E501">
        <f t="shared" ca="1" si="36"/>
        <v>1</v>
      </c>
      <c r="F501" s="84">
        <f t="shared" si="37"/>
        <v>47</v>
      </c>
      <c r="G501">
        <v>47</v>
      </c>
      <c r="H501">
        <v>0</v>
      </c>
      <c r="I501">
        <f t="shared" si="38"/>
        <v>1</v>
      </c>
      <c r="J501">
        <f t="shared" si="39"/>
        <v>2.2148200000000002E-3</v>
      </c>
    </row>
    <row r="502" spans="4:10">
      <c r="D502">
        <f t="shared" ca="1" si="35"/>
        <v>30.38750122028182</v>
      </c>
      <c r="E502">
        <f t="shared" ca="1" si="36"/>
        <v>1</v>
      </c>
      <c r="F502" s="84">
        <f t="shared" si="37"/>
        <v>72</v>
      </c>
      <c r="G502">
        <v>72</v>
      </c>
      <c r="H502">
        <v>1</v>
      </c>
      <c r="I502">
        <f t="shared" si="38"/>
        <v>1</v>
      </c>
      <c r="J502">
        <f t="shared" si="39"/>
        <v>8.34792E-3</v>
      </c>
    </row>
    <row r="503" spans="4:10">
      <c r="D503">
        <f t="shared" ca="1" si="35"/>
        <v>48.983336043663471</v>
      </c>
      <c r="E503">
        <f t="shared" ca="1" si="36"/>
        <v>1</v>
      </c>
      <c r="F503" s="84">
        <f t="shared" si="37"/>
        <v>40</v>
      </c>
      <c r="G503">
        <v>40</v>
      </c>
      <c r="H503">
        <v>1</v>
      </c>
      <c r="I503">
        <f t="shared" si="38"/>
        <v>1</v>
      </c>
      <c r="J503">
        <f t="shared" si="39"/>
        <v>5.2483E-4</v>
      </c>
    </row>
    <row r="504" spans="4:10">
      <c r="D504">
        <f t="shared" ca="1" si="35"/>
        <v>40.347880452465027</v>
      </c>
      <c r="E504">
        <f t="shared" ca="1" si="36"/>
        <v>1</v>
      </c>
      <c r="F504" s="84">
        <f t="shared" si="37"/>
        <v>38</v>
      </c>
      <c r="G504">
        <v>38</v>
      </c>
      <c r="H504">
        <v>1</v>
      </c>
      <c r="I504">
        <f t="shared" si="38"/>
        <v>1</v>
      </c>
      <c r="J504">
        <f t="shared" si="39"/>
        <v>4.4977E-4</v>
      </c>
    </row>
    <row r="505" spans="4:10">
      <c r="D505">
        <f t="shared" ca="1" si="35"/>
        <v>59.2825093115664</v>
      </c>
      <c r="E505">
        <f t="shared" ca="1" si="36"/>
        <v>0</v>
      </c>
      <c r="F505" s="84">
        <f t="shared" si="37"/>
        <v>50</v>
      </c>
      <c r="G505">
        <v>50</v>
      </c>
      <c r="H505">
        <v>1</v>
      </c>
      <c r="I505">
        <f t="shared" si="38"/>
        <v>1</v>
      </c>
      <c r="J505">
        <f t="shared" si="39"/>
        <v>1.31766E-3</v>
      </c>
    </row>
    <row r="506" spans="4:10">
      <c r="D506">
        <f t="shared" ca="1" si="35"/>
        <v>70.293740004285567</v>
      </c>
      <c r="E506">
        <f t="shared" ca="1" si="36"/>
        <v>0</v>
      </c>
      <c r="F506" s="84">
        <f t="shared" si="37"/>
        <v>33</v>
      </c>
      <c r="G506">
        <v>33</v>
      </c>
      <c r="H506">
        <v>1</v>
      </c>
      <c r="I506">
        <f t="shared" si="38"/>
        <v>1</v>
      </c>
      <c r="J506">
        <f t="shared" si="39"/>
        <v>3.1915999999999997E-4</v>
      </c>
    </row>
    <row r="507" spans="4:10">
      <c r="D507">
        <f t="shared" ca="1" si="35"/>
        <v>49.38769978485761</v>
      </c>
      <c r="E507">
        <f t="shared" ca="1" si="36"/>
        <v>0</v>
      </c>
      <c r="F507" s="84">
        <f t="shared" si="37"/>
        <v>36</v>
      </c>
      <c r="G507">
        <v>36</v>
      </c>
      <c r="H507">
        <v>1</v>
      </c>
      <c r="I507">
        <f t="shared" si="38"/>
        <v>1</v>
      </c>
      <c r="J507">
        <f t="shared" si="39"/>
        <v>3.8510999999999998E-4</v>
      </c>
    </row>
    <row r="508" spans="4:10">
      <c r="D508">
        <f t="shared" ca="1" si="35"/>
        <v>53.908809319134278</v>
      </c>
      <c r="E508">
        <f t="shared" ca="1" si="36"/>
        <v>1</v>
      </c>
      <c r="F508" s="84">
        <f t="shared" si="37"/>
        <v>24</v>
      </c>
      <c r="G508">
        <v>24</v>
      </c>
      <c r="H508">
        <v>1</v>
      </c>
      <c r="I508">
        <f t="shared" si="38"/>
        <v>1</v>
      </c>
      <c r="J508">
        <f t="shared" si="39"/>
        <v>2.5754E-4</v>
      </c>
    </row>
    <row r="509" spans="4:10">
      <c r="D509">
        <f t="shared" ca="1" si="35"/>
        <v>75.958649055685783</v>
      </c>
      <c r="E509">
        <f t="shared" ca="1" si="36"/>
        <v>1</v>
      </c>
      <c r="F509" s="84">
        <f t="shared" si="37"/>
        <v>-19</v>
      </c>
      <c r="G509">
        <v>-19</v>
      </c>
      <c r="H509">
        <v>0</v>
      </c>
      <c r="I509">
        <f t="shared" si="38"/>
        <v>0</v>
      </c>
      <c r="J509" t="e">
        <f t="shared" si="39"/>
        <v>#N/A</v>
      </c>
    </row>
    <row r="510" spans="4:10">
      <c r="D510">
        <f t="shared" ca="1" si="35"/>
        <v>69.501500421263131</v>
      </c>
      <c r="E510">
        <f t="shared" ca="1" si="36"/>
        <v>1</v>
      </c>
      <c r="F510" s="84">
        <f t="shared" si="37"/>
        <v>28</v>
      </c>
      <c r="G510">
        <v>28</v>
      </c>
      <c r="H510">
        <v>0</v>
      </c>
      <c r="I510">
        <f t="shared" si="38"/>
        <v>1</v>
      </c>
      <c r="J510">
        <f t="shared" si="39"/>
        <v>4.8446999999999997E-4</v>
      </c>
    </row>
    <row r="511" spans="4:10">
      <c r="D511">
        <f t="shared" ca="1" si="35"/>
        <v>66.263301024936965</v>
      </c>
      <c r="E511">
        <f t="shared" ca="1" si="36"/>
        <v>1</v>
      </c>
      <c r="F511" s="84">
        <f t="shared" si="37"/>
        <v>65</v>
      </c>
      <c r="G511">
        <v>65</v>
      </c>
      <c r="H511">
        <v>1</v>
      </c>
      <c r="I511">
        <f t="shared" si="38"/>
        <v>1</v>
      </c>
      <c r="J511">
        <f t="shared" si="39"/>
        <v>4.3744200000000004E-3</v>
      </c>
    </row>
    <row r="512" spans="4:10">
      <c r="D512">
        <f t="shared" ca="1" si="35"/>
        <v>0.2987610530110274</v>
      </c>
      <c r="E512">
        <f t="shared" ca="1" si="36"/>
        <v>0</v>
      </c>
      <c r="F512" s="84">
        <f t="shared" si="37"/>
        <v>97</v>
      </c>
      <c r="G512">
        <v>97</v>
      </c>
      <c r="H512">
        <v>1</v>
      </c>
      <c r="I512">
        <f t="shared" si="38"/>
        <v>1</v>
      </c>
      <c r="J512">
        <f t="shared" si="39"/>
        <v>0.16617688999999999</v>
      </c>
    </row>
    <row r="513" spans="4:10">
      <c r="D513">
        <f t="shared" ca="1" si="35"/>
        <v>39.269082366791231</v>
      </c>
      <c r="E513">
        <f t="shared" ca="1" si="36"/>
        <v>1</v>
      </c>
      <c r="F513" s="84">
        <f t="shared" si="37"/>
        <v>56</v>
      </c>
      <c r="G513">
        <v>56</v>
      </c>
      <c r="H513">
        <v>0</v>
      </c>
      <c r="I513">
        <f t="shared" si="38"/>
        <v>1</v>
      </c>
      <c r="J513">
        <f t="shared" si="39"/>
        <v>4.4530899999999998E-3</v>
      </c>
    </row>
    <row r="514" spans="4:10">
      <c r="D514">
        <f t="shared" ref="D514:D577" ca="1" si="40">NORMINV(RAND(), mean_age, sd_age)</f>
        <v>65.379231686030806</v>
      </c>
      <c r="E514">
        <f t="shared" ref="E514:E577" ca="1" si="41">_xlfn.BINOM.INV(1, prop_female, RAND())</f>
        <v>1</v>
      </c>
      <c r="F514" s="84">
        <f t="shared" ref="F514:F577" si="42">ROUND(G514,0)</f>
        <v>44</v>
      </c>
      <c r="G514">
        <v>44</v>
      </c>
      <c r="H514">
        <v>1</v>
      </c>
      <c r="I514">
        <f t="shared" ref="I514:I577" si="43">IF(G514&lt;18, 0, 1)</f>
        <v>1</v>
      </c>
      <c r="J514">
        <f t="shared" ref="J514:J577" si="44">IF(H514=0,VLOOKUP(G514,$M$2:$O$102,2,TRUE),VLOOKUP(G514,$M$2:$O$102,3,TRUE))</f>
        <v>7.2154999999999995E-4</v>
      </c>
    </row>
    <row r="515" spans="4:10">
      <c r="D515">
        <f t="shared" ca="1" si="40"/>
        <v>38.009745955893493</v>
      </c>
      <c r="E515">
        <f t="shared" ca="1" si="41"/>
        <v>1</v>
      </c>
      <c r="F515" s="84">
        <f t="shared" si="42"/>
        <v>63</v>
      </c>
      <c r="G515">
        <v>63</v>
      </c>
      <c r="H515">
        <v>1</v>
      </c>
      <c r="I515">
        <f t="shared" si="43"/>
        <v>1</v>
      </c>
      <c r="J515">
        <f t="shared" si="44"/>
        <v>3.7797199999999999E-3</v>
      </c>
    </row>
    <row r="516" spans="4:10">
      <c r="D516">
        <f t="shared" ca="1" si="40"/>
        <v>37.28718125174818</v>
      </c>
      <c r="E516">
        <f t="shared" ca="1" si="41"/>
        <v>1</v>
      </c>
      <c r="F516" s="84">
        <f t="shared" si="42"/>
        <v>68</v>
      </c>
      <c r="G516">
        <v>68</v>
      </c>
      <c r="H516">
        <v>1</v>
      </c>
      <c r="I516">
        <f t="shared" si="43"/>
        <v>1</v>
      </c>
      <c r="J516">
        <f t="shared" si="44"/>
        <v>5.5425099999999996E-3</v>
      </c>
    </row>
    <row r="517" spans="4:10">
      <c r="D517">
        <f t="shared" ca="1" si="40"/>
        <v>27.032308149638961</v>
      </c>
      <c r="E517">
        <f t="shared" ca="1" si="41"/>
        <v>1</v>
      </c>
      <c r="F517" s="84">
        <f t="shared" si="42"/>
        <v>37</v>
      </c>
      <c r="G517">
        <v>37</v>
      </c>
      <c r="H517">
        <v>1</v>
      </c>
      <c r="I517">
        <f t="shared" si="43"/>
        <v>1</v>
      </c>
      <c r="J517">
        <f t="shared" si="44"/>
        <v>4.1611000000000003E-4</v>
      </c>
    </row>
    <row r="518" spans="4:10">
      <c r="D518">
        <f t="shared" ca="1" si="40"/>
        <v>75.660282058681304</v>
      </c>
      <c r="E518">
        <f t="shared" ca="1" si="41"/>
        <v>1</v>
      </c>
      <c r="F518" s="84">
        <f t="shared" si="42"/>
        <v>53</v>
      </c>
      <c r="G518">
        <v>53</v>
      </c>
      <c r="H518">
        <v>1</v>
      </c>
      <c r="I518">
        <f t="shared" si="43"/>
        <v>1</v>
      </c>
      <c r="J518">
        <f t="shared" si="44"/>
        <v>1.7577700000000001E-3</v>
      </c>
    </row>
    <row r="519" spans="4:10">
      <c r="D519">
        <f t="shared" ca="1" si="40"/>
        <v>79.545844757441557</v>
      </c>
      <c r="E519">
        <f t="shared" ca="1" si="41"/>
        <v>1</v>
      </c>
      <c r="F519" s="84">
        <f t="shared" si="42"/>
        <v>29</v>
      </c>
      <c r="G519">
        <v>29</v>
      </c>
      <c r="H519">
        <v>1</v>
      </c>
      <c r="I519">
        <f t="shared" si="43"/>
        <v>1</v>
      </c>
      <c r="J519">
        <f t="shared" si="44"/>
        <v>3.1763000000000001E-4</v>
      </c>
    </row>
    <row r="520" spans="4:10">
      <c r="D520">
        <f t="shared" ca="1" si="40"/>
        <v>42.292080551298383</v>
      </c>
      <c r="E520">
        <f t="shared" ca="1" si="41"/>
        <v>1</v>
      </c>
      <c r="F520" s="84">
        <f t="shared" si="42"/>
        <v>94</v>
      </c>
      <c r="G520">
        <v>94</v>
      </c>
      <c r="H520">
        <v>0</v>
      </c>
      <c r="I520">
        <f t="shared" si="43"/>
        <v>1</v>
      </c>
      <c r="J520">
        <f t="shared" si="44"/>
        <v>0.14908104999999999</v>
      </c>
    </row>
    <row r="521" spans="4:10">
      <c r="D521">
        <f t="shared" ca="1" si="40"/>
        <v>58.823646154894426</v>
      </c>
      <c r="E521">
        <f t="shared" ca="1" si="41"/>
        <v>1</v>
      </c>
      <c r="F521" s="84">
        <f t="shared" si="42"/>
        <v>71</v>
      </c>
      <c r="G521">
        <v>71</v>
      </c>
      <c r="H521">
        <v>1</v>
      </c>
      <c r="I521">
        <f t="shared" si="43"/>
        <v>1</v>
      </c>
      <c r="J521">
        <f t="shared" si="44"/>
        <v>7.4666999999999997E-3</v>
      </c>
    </row>
    <row r="522" spans="4:10">
      <c r="D522">
        <f t="shared" ca="1" si="40"/>
        <v>10.338106583272392</v>
      </c>
      <c r="E522">
        <f t="shared" ca="1" si="41"/>
        <v>0</v>
      </c>
      <c r="F522" s="84">
        <f t="shared" si="42"/>
        <v>35</v>
      </c>
      <c r="G522">
        <v>35</v>
      </c>
      <c r="H522">
        <v>1</v>
      </c>
      <c r="I522">
        <f t="shared" si="43"/>
        <v>1</v>
      </c>
      <c r="J522">
        <f t="shared" si="44"/>
        <v>3.5702999999999999E-4</v>
      </c>
    </row>
    <row r="523" spans="4:10">
      <c r="D523">
        <f t="shared" ca="1" si="40"/>
        <v>50.156925433868075</v>
      </c>
      <c r="E523">
        <f t="shared" ca="1" si="41"/>
        <v>1</v>
      </c>
      <c r="F523" s="84">
        <f t="shared" si="42"/>
        <v>35</v>
      </c>
      <c r="G523">
        <v>35</v>
      </c>
      <c r="H523">
        <v>1</v>
      </c>
      <c r="I523">
        <f t="shared" si="43"/>
        <v>1</v>
      </c>
      <c r="J523">
        <f t="shared" si="44"/>
        <v>3.5702999999999999E-4</v>
      </c>
    </row>
    <row r="524" spans="4:10">
      <c r="D524">
        <f t="shared" ca="1" si="40"/>
        <v>54.790549207651814</v>
      </c>
      <c r="E524">
        <f t="shared" ca="1" si="41"/>
        <v>1</v>
      </c>
      <c r="F524" s="84">
        <f t="shared" si="42"/>
        <v>47</v>
      </c>
      <c r="G524">
        <v>47</v>
      </c>
      <c r="H524">
        <v>1</v>
      </c>
      <c r="I524">
        <f t="shared" si="43"/>
        <v>1</v>
      </c>
      <c r="J524">
        <f t="shared" si="44"/>
        <v>9.6336999999999996E-4</v>
      </c>
    </row>
    <row r="525" spans="4:10">
      <c r="D525">
        <f t="shared" ca="1" si="40"/>
        <v>29.907990172737911</v>
      </c>
      <c r="E525">
        <f t="shared" ca="1" si="41"/>
        <v>1</v>
      </c>
      <c r="F525" s="84">
        <f t="shared" si="42"/>
        <v>5</v>
      </c>
      <c r="G525">
        <v>5</v>
      </c>
      <c r="H525">
        <v>0</v>
      </c>
      <c r="I525">
        <f t="shared" si="43"/>
        <v>0</v>
      </c>
      <c r="J525">
        <f t="shared" si="44"/>
        <v>9.0649999999999994E-5</v>
      </c>
    </row>
    <row r="526" spans="4:10">
      <c r="D526">
        <f t="shared" ca="1" si="40"/>
        <v>48.451911088543113</v>
      </c>
      <c r="E526">
        <f t="shared" ca="1" si="41"/>
        <v>1</v>
      </c>
      <c r="F526" s="84">
        <f t="shared" si="42"/>
        <v>72</v>
      </c>
      <c r="G526">
        <v>72</v>
      </c>
      <c r="H526">
        <v>1</v>
      </c>
      <c r="I526">
        <f t="shared" si="43"/>
        <v>1</v>
      </c>
      <c r="J526">
        <f t="shared" si="44"/>
        <v>8.34792E-3</v>
      </c>
    </row>
    <row r="527" spans="4:10">
      <c r="D527">
        <f t="shared" ca="1" si="40"/>
        <v>62.399791583611361</v>
      </c>
      <c r="E527">
        <f t="shared" ca="1" si="41"/>
        <v>0</v>
      </c>
      <c r="F527" s="84">
        <f t="shared" si="42"/>
        <v>44</v>
      </c>
      <c r="G527">
        <v>44</v>
      </c>
      <c r="H527">
        <v>1</v>
      </c>
      <c r="I527">
        <f t="shared" si="43"/>
        <v>1</v>
      </c>
      <c r="J527">
        <f t="shared" si="44"/>
        <v>7.2154999999999995E-4</v>
      </c>
    </row>
    <row r="528" spans="4:10">
      <c r="D528">
        <f t="shared" ca="1" si="40"/>
        <v>42.953158598917405</v>
      </c>
      <c r="E528">
        <f t="shared" ca="1" si="41"/>
        <v>1</v>
      </c>
      <c r="F528" s="84">
        <f t="shared" si="42"/>
        <v>35</v>
      </c>
      <c r="G528">
        <v>35</v>
      </c>
      <c r="H528">
        <v>0</v>
      </c>
      <c r="I528">
        <f t="shared" si="43"/>
        <v>1</v>
      </c>
      <c r="J528">
        <f t="shared" si="44"/>
        <v>7.4293000000000004E-4</v>
      </c>
    </row>
    <row r="529" spans="4:10">
      <c r="D529">
        <f t="shared" ca="1" si="40"/>
        <v>33.885122661284143</v>
      </c>
      <c r="E529">
        <f t="shared" ca="1" si="41"/>
        <v>0</v>
      </c>
      <c r="F529" s="84">
        <f t="shared" si="42"/>
        <v>61</v>
      </c>
      <c r="G529">
        <v>61</v>
      </c>
      <c r="H529">
        <v>1</v>
      </c>
      <c r="I529">
        <f t="shared" si="43"/>
        <v>1</v>
      </c>
      <c r="J529">
        <f t="shared" si="44"/>
        <v>3.2876200000000002E-3</v>
      </c>
    </row>
    <row r="530" spans="4:10">
      <c r="D530">
        <f t="shared" ca="1" si="40"/>
        <v>54.705251001778571</v>
      </c>
      <c r="E530">
        <f t="shared" ca="1" si="41"/>
        <v>1</v>
      </c>
      <c r="F530" s="84">
        <f t="shared" si="42"/>
        <v>26</v>
      </c>
      <c r="G530">
        <v>26</v>
      </c>
      <c r="H530">
        <v>1</v>
      </c>
      <c r="I530">
        <f t="shared" si="43"/>
        <v>1</v>
      </c>
      <c r="J530">
        <f t="shared" si="44"/>
        <v>3.0111E-4</v>
      </c>
    </row>
    <row r="531" spans="4:10">
      <c r="D531">
        <f t="shared" ca="1" si="40"/>
        <v>48.817154296762624</v>
      </c>
      <c r="E531">
        <f t="shared" ca="1" si="41"/>
        <v>1</v>
      </c>
      <c r="F531" s="84">
        <f t="shared" si="42"/>
        <v>49</v>
      </c>
      <c r="G531">
        <v>49</v>
      </c>
      <c r="H531">
        <v>1</v>
      </c>
      <c r="I531">
        <f t="shared" si="43"/>
        <v>1</v>
      </c>
      <c r="J531">
        <f t="shared" si="44"/>
        <v>1.1877400000000001E-3</v>
      </c>
    </row>
    <row r="532" spans="4:10">
      <c r="D532">
        <f t="shared" ca="1" si="40"/>
        <v>82.475891122889593</v>
      </c>
      <c r="E532">
        <f t="shared" ca="1" si="41"/>
        <v>0</v>
      </c>
      <c r="F532" s="84">
        <f t="shared" si="42"/>
        <v>43</v>
      </c>
      <c r="G532">
        <v>43</v>
      </c>
      <c r="H532">
        <v>1</v>
      </c>
      <c r="I532">
        <f t="shared" si="43"/>
        <v>1</v>
      </c>
      <c r="J532">
        <f t="shared" si="44"/>
        <v>6.6288000000000002E-4</v>
      </c>
    </row>
    <row r="533" spans="4:10">
      <c r="D533">
        <f t="shared" ca="1" si="40"/>
        <v>33.588434868335135</v>
      </c>
      <c r="E533">
        <f t="shared" ca="1" si="41"/>
        <v>1</v>
      </c>
      <c r="F533" s="84">
        <f t="shared" si="42"/>
        <v>73</v>
      </c>
      <c r="G533">
        <v>73</v>
      </c>
      <c r="H533">
        <v>1</v>
      </c>
      <c r="I533">
        <f t="shared" si="43"/>
        <v>1</v>
      </c>
      <c r="J533">
        <f t="shared" si="44"/>
        <v>9.4021599999999997E-3</v>
      </c>
    </row>
    <row r="534" spans="4:10">
      <c r="D534">
        <f t="shared" ca="1" si="40"/>
        <v>55.844667355894941</v>
      </c>
      <c r="E534">
        <f t="shared" ca="1" si="41"/>
        <v>1</v>
      </c>
      <c r="F534" s="84">
        <f t="shared" si="42"/>
        <v>25</v>
      </c>
      <c r="G534">
        <v>25</v>
      </c>
      <c r="H534">
        <v>0</v>
      </c>
      <c r="I534">
        <f t="shared" si="43"/>
        <v>1</v>
      </c>
      <c r="J534">
        <f t="shared" si="44"/>
        <v>3.6846999999999997E-4</v>
      </c>
    </row>
    <row r="535" spans="4:10">
      <c r="D535">
        <f t="shared" ca="1" si="40"/>
        <v>47.929762771916423</v>
      </c>
      <c r="E535">
        <f t="shared" ca="1" si="41"/>
        <v>1</v>
      </c>
      <c r="F535" s="84">
        <f t="shared" si="42"/>
        <v>31</v>
      </c>
      <c r="G535">
        <v>31</v>
      </c>
      <c r="H535">
        <v>1</v>
      </c>
      <c r="I535">
        <f t="shared" si="43"/>
        <v>1</v>
      </c>
      <c r="J535">
        <f t="shared" si="44"/>
        <v>3.1021E-4</v>
      </c>
    </row>
    <row r="536" spans="4:10">
      <c r="D536">
        <f t="shared" ca="1" si="40"/>
        <v>28.500990259990491</v>
      </c>
      <c r="E536">
        <f t="shared" ca="1" si="41"/>
        <v>1</v>
      </c>
      <c r="F536" s="84">
        <f t="shared" si="42"/>
        <v>39</v>
      </c>
      <c r="G536">
        <v>39</v>
      </c>
      <c r="H536">
        <v>1</v>
      </c>
      <c r="I536">
        <f t="shared" si="43"/>
        <v>1</v>
      </c>
      <c r="J536">
        <f t="shared" si="44"/>
        <v>4.8622999999999998E-4</v>
      </c>
    </row>
    <row r="537" spans="4:10">
      <c r="D537">
        <f t="shared" ca="1" si="40"/>
        <v>36.1539267752201</v>
      </c>
      <c r="E537">
        <f t="shared" ca="1" si="41"/>
        <v>0</v>
      </c>
      <c r="F537" s="84">
        <f t="shared" si="42"/>
        <v>46</v>
      </c>
      <c r="G537">
        <v>46</v>
      </c>
      <c r="H537">
        <v>1</v>
      </c>
      <c r="I537">
        <f t="shared" si="43"/>
        <v>1</v>
      </c>
      <c r="J537">
        <f t="shared" si="44"/>
        <v>8.7060000000000002E-4</v>
      </c>
    </row>
    <row r="538" spans="4:10">
      <c r="D538">
        <f t="shared" ca="1" si="40"/>
        <v>46.510998820183154</v>
      </c>
      <c r="E538">
        <f t="shared" ca="1" si="41"/>
        <v>1</v>
      </c>
      <c r="F538" s="84">
        <f t="shared" si="42"/>
        <v>25</v>
      </c>
      <c r="G538">
        <v>25</v>
      </c>
      <c r="H538">
        <v>1</v>
      </c>
      <c r="I538">
        <f t="shared" si="43"/>
        <v>1</v>
      </c>
      <c r="J538">
        <f t="shared" si="44"/>
        <v>2.8196999999999999E-4</v>
      </c>
    </row>
    <row r="539" spans="4:10">
      <c r="D539">
        <f t="shared" ca="1" si="40"/>
        <v>31.669938045843978</v>
      </c>
      <c r="E539">
        <f t="shared" ca="1" si="41"/>
        <v>1</v>
      </c>
      <c r="F539" s="84">
        <f t="shared" si="42"/>
        <v>59</v>
      </c>
      <c r="G539">
        <v>59</v>
      </c>
      <c r="H539">
        <v>0</v>
      </c>
      <c r="I539">
        <f t="shared" si="43"/>
        <v>1</v>
      </c>
      <c r="J539">
        <f t="shared" si="44"/>
        <v>5.67755E-3</v>
      </c>
    </row>
    <row r="540" spans="4:10">
      <c r="D540">
        <f t="shared" ca="1" si="40"/>
        <v>44.403809359423391</v>
      </c>
      <c r="E540">
        <f t="shared" ca="1" si="41"/>
        <v>0</v>
      </c>
      <c r="F540" s="84">
        <f t="shared" si="42"/>
        <v>48</v>
      </c>
      <c r="G540">
        <v>48</v>
      </c>
      <c r="H540">
        <v>1</v>
      </c>
      <c r="I540">
        <f t="shared" si="43"/>
        <v>1</v>
      </c>
      <c r="J540">
        <f t="shared" si="44"/>
        <v>1.0691400000000001E-3</v>
      </c>
    </row>
    <row r="541" spans="4:10">
      <c r="D541">
        <f t="shared" ca="1" si="40"/>
        <v>56.704066740286486</v>
      </c>
      <c r="E541">
        <f t="shared" ca="1" si="41"/>
        <v>1</v>
      </c>
      <c r="F541" s="84">
        <f t="shared" si="42"/>
        <v>58</v>
      </c>
      <c r="G541">
        <v>58</v>
      </c>
      <c r="H541">
        <v>1</v>
      </c>
      <c r="I541">
        <f t="shared" si="43"/>
        <v>1</v>
      </c>
      <c r="J541">
        <f t="shared" si="44"/>
        <v>2.63817E-3</v>
      </c>
    </row>
    <row r="542" spans="4:10">
      <c r="D542">
        <f t="shared" ca="1" si="40"/>
        <v>53.416393713155557</v>
      </c>
      <c r="E542">
        <f t="shared" ca="1" si="41"/>
        <v>1</v>
      </c>
      <c r="F542" s="84">
        <f t="shared" si="42"/>
        <v>47</v>
      </c>
      <c r="G542">
        <v>47</v>
      </c>
      <c r="H542">
        <v>0</v>
      </c>
      <c r="I542">
        <f t="shared" si="43"/>
        <v>1</v>
      </c>
      <c r="J542">
        <f t="shared" si="44"/>
        <v>2.2148200000000002E-3</v>
      </c>
    </row>
    <row r="543" spans="4:10">
      <c r="D543">
        <f t="shared" ca="1" si="40"/>
        <v>27.110454209531959</v>
      </c>
      <c r="E543">
        <f t="shared" ca="1" si="41"/>
        <v>1</v>
      </c>
      <c r="F543" s="84">
        <f t="shared" si="42"/>
        <v>58</v>
      </c>
      <c r="G543">
        <v>58</v>
      </c>
      <c r="H543">
        <v>1</v>
      </c>
      <c r="I543">
        <f t="shared" si="43"/>
        <v>1</v>
      </c>
      <c r="J543">
        <f t="shared" si="44"/>
        <v>2.63817E-3</v>
      </c>
    </row>
    <row r="544" spans="4:10">
      <c r="D544">
        <f t="shared" ca="1" si="40"/>
        <v>79.039362823327195</v>
      </c>
      <c r="E544">
        <f t="shared" ca="1" si="41"/>
        <v>0</v>
      </c>
      <c r="F544" s="84">
        <f t="shared" si="42"/>
        <v>38</v>
      </c>
      <c r="G544">
        <v>38</v>
      </c>
      <c r="H544">
        <v>1</v>
      </c>
      <c r="I544">
        <f t="shared" si="43"/>
        <v>1</v>
      </c>
      <c r="J544">
        <f t="shared" si="44"/>
        <v>4.4977E-4</v>
      </c>
    </row>
    <row r="545" spans="4:10">
      <c r="D545">
        <f t="shared" ca="1" si="40"/>
        <v>55.23547983919795</v>
      </c>
      <c r="E545">
        <f t="shared" ca="1" si="41"/>
        <v>0</v>
      </c>
      <c r="F545" s="84">
        <f t="shared" si="42"/>
        <v>48</v>
      </c>
      <c r="G545">
        <v>48</v>
      </c>
      <c r="H545">
        <v>0</v>
      </c>
      <c r="I545">
        <f t="shared" si="43"/>
        <v>1</v>
      </c>
      <c r="J545">
        <f t="shared" si="44"/>
        <v>2.4474599999999998E-3</v>
      </c>
    </row>
    <row r="546" spans="4:10">
      <c r="D546">
        <f t="shared" ca="1" si="40"/>
        <v>48.08786980401559</v>
      </c>
      <c r="E546">
        <f t="shared" ca="1" si="41"/>
        <v>1</v>
      </c>
      <c r="F546" s="84">
        <f t="shared" si="42"/>
        <v>62</v>
      </c>
      <c r="G546">
        <v>62</v>
      </c>
      <c r="H546">
        <v>1</v>
      </c>
      <c r="I546">
        <f t="shared" si="43"/>
        <v>1</v>
      </c>
      <c r="J546">
        <f t="shared" si="44"/>
        <v>3.5238499999999998E-3</v>
      </c>
    </row>
    <row r="547" spans="4:10">
      <c r="D547">
        <f t="shared" ca="1" si="40"/>
        <v>42.078178219922187</v>
      </c>
      <c r="E547">
        <f t="shared" ca="1" si="41"/>
        <v>1</v>
      </c>
      <c r="F547" s="84">
        <f t="shared" si="42"/>
        <v>27</v>
      </c>
      <c r="G547">
        <v>27</v>
      </c>
      <c r="H547">
        <v>1</v>
      </c>
      <c r="I547">
        <f t="shared" si="43"/>
        <v>1</v>
      </c>
      <c r="J547">
        <f t="shared" si="44"/>
        <v>3.1334000000000001E-4</v>
      </c>
    </row>
    <row r="548" spans="4:10">
      <c r="D548">
        <f t="shared" ca="1" si="40"/>
        <v>53.006446202661259</v>
      </c>
      <c r="E548">
        <f t="shared" ca="1" si="41"/>
        <v>1</v>
      </c>
      <c r="F548" s="84">
        <f t="shared" si="42"/>
        <v>60</v>
      </c>
      <c r="G548">
        <v>60</v>
      </c>
      <c r="H548">
        <v>1</v>
      </c>
      <c r="I548">
        <f t="shared" si="43"/>
        <v>1</v>
      </c>
      <c r="J548">
        <f t="shared" si="44"/>
        <v>3.06333E-3</v>
      </c>
    </row>
    <row r="549" spans="4:10">
      <c r="D549">
        <f t="shared" ca="1" si="40"/>
        <v>53.02333169713657</v>
      </c>
      <c r="E549">
        <f t="shared" ca="1" si="41"/>
        <v>1</v>
      </c>
      <c r="F549" s="84">
        <f t="shared" si="42"/>
        <v>74</v>
      </c>
      <c r="G549">
        <v>74</v>
      </c>
      <c r="H549">
        <v>1</v>
      </c>
      <c r="I549">
        <f t="shared" si="43"/>
        <v>1</v>
      </c>
      <c r="J549">
        <f t="shared" si="44"/>
        <v>1.066982E-2</v>
      </c>
    </row>
    <row r="550" spans="4:10">
      <c r="D550">
        <f t="shared" ca="1" si="40"/>
        <v>27.46135965232903</v>
      </c>
      <c r="E550">
        <f t="shared" ca="1" si="41"/>
        <v>0</v>
      </c>
      <c r="F550" s="84">
        <f t="shared" si="42"/>
        <v>67</v>
      </c>
      <c r="G550">
        <v>67</v>
      </c>
      <c r="H550">
        <v>0</v>
      </c>
      <c r="I550">
        <f t="shared" si="43"/>
        <v>1</v>
      </c>
      <c r="J550">
        <f t="shared" si="44"/>
        <v>1.10014E-2</v>
      </c>
    </row>
    <row r="551" spans="4:10">
      <c r="D551">
        <f t="shared" ca="1" si="40"/>
        <v>55.086891494407993</v>
      </c>
      <c r="E551">
        <f t="shared" ca="1" si="41"/>
        <v>1</v>
      </c>
      <c r="F551" s="84">
        <f t="shared" si="42"/>
        <v>13</v>
      </c>
      <c r="G551">
        <v>13</v>
      </c>
      <c r="H551">
        <v>1</v>
      </c>
      <c r="I551">
        <f t="shared" si="43"/>
        <v>0</v>
      </c>
      <c r="J551">
        <f t="shared" si="44"/>
        <v>1.2721999999999999E-4</v>
      </c>
    </row>
    <row r="552" spans="4:10">
      <c r="D552">
        <f t="shared" ca="1" si="40"/>
        <v>44.059623976460244</v>
      </c>
      <c r="E552">
        <f t="shared" ca="1" si="41"/>
        <v>0</v>
      </c>
      <c r="F552" s="84">
        <f t="shared" si="42"/>
        <v>50</v>
      </c>
      <c r="G552">
        <v>50</v>
      </c>
      <c r="H552">
        <v>1</v>
      </c>
      <c r="I552">
        <f t="shared" si="43"/>
        <v>1</v>
      </c>
      <c r="J552">
        <f t="shared" si="44"/>
        <v>1.31766E-3</v>
      </c>
    </row>
    <row r="553" spans="4:10">
      <c r="D553">
        <f t="shared" ca="1" si="40"/>
        <v>65.566362262906097</v>
      </c>
      <c r="E553">
        <f t="shared" ca="1" si="41"/>
        <v>1</v>
      </c>
      <c r="F553" s="84">
        <f t="shared" si="42"/>
        <v>1</v>
      </c>
      <c r="G553">
        <v>1</v>
      </c>
      <c r="H553">
        <v>1</v>
      </c>
      <c r="I553">
        <f t="shared" si="43"/>
        <v>0</v>
      </c>
      <c r="J553">
        <f t="shared" si="44"/>
        <v>1.3137000000000001E-4</v>
      </c>
    </row>
    <row r="554" spans="4:10">
      <c r="D554">
        <f t="shared" ca="1" si="40"/>
        <v>27.928808565457626</v>
      </c>
      <c r="E554">
        <f t="shared" ca="1" si="41"/>
        <v>1</v>
      </c>
      <c r="F554" s="84">
        <f t="shared" si="42"/>
        <v>11</v>
      </c>
      <c r="G554">
        <v>11</v>
      </c>
      <c r="H554">
        <v>1</v>
      </c>
      <c r="I554">
        <f t="shared" si="43"/>
        <v>0</v>
      </c>
      <c r="J554">
        <f t="shared" si="44"/>
        <v>1.1621E-4</v>
      </c>
    </row>
    <row r="555" spans="4:10">
      <c r="D555">
        <f t="shared" ca="1" si="40"/>
        <v>52.397806940109021</v>
      </c>
      <c r="E555">
        <f t="shared" ca="1" si="41"/>
        <v>1</v>
      </c>
      <c r="F555" s="84">
        <f t="shared" si="42"/>
        <v>33</v>
      </c>
      <c r="G555">
        <v>33</v>
      </c>
      <c r="H555">
        <v>1</v>
      </c>
      <c r="I555">
        <f t="shared" si="43"/>
        <v>1</v>
      </c>
      <c r="J555">
        <f t="shared" si="44"/>
        <v>3.1915999999999997E-4</v>
      </c>
    </row>
    <row r="556" spans="4:10">
      <c r="D556">
        <f t="shared" ca="1" si="40"/>
        <v>44.016638005708451</v>
      </c>
      <c r="E556">
        <f t="shared" ca="1" si="41"/>
        <v>1</v>
      </c>
      <c r="F556" s="84">
        <f t="shared" si="42"/>
        <v>48</v>
      </c>
      <c r="G556">
        <v>48</v>
      </c>
      <c r="H556">
        <v>1</v>
      </c>
      <c r="I556">
        <f t="shared" si="43"/>
        <v>1</v>
      </c>
      <c r="J556">
        <f t="shared" si="44"/>
        <v>1.0691400000000001E-3</v>
      </c>
    </row>
    <row r="557" spans="4:10">
      <c r="D557">
        <f t="shared" ca="1" si="40"/>
        <v>24.167357944466549</v>
      </c>
      <c r="E557">
        <f t="shared" ca="1" si="41"/>
        <v>1</v>
      </c>
      <c r="F557" s="84">
        <f t="shared" si="42"/>
        <v>35</v>
      </c>
      <c r="G557">
        <v>35</v>
      </c>
      <c r="H557">
        <v>0</v>
      </c>
      <c r="I557">
        <f t="shared" si="43"/>
        <v>1</v>
      </c>
      <c r="J557">
        <f t="shared" si="44"/>
        <v>7.4293000000000004E-4</v>
      </c>
    </row>
    <row r="558" spans="4:10">
      <c r="D558">
        <f t="shared" ca="1" si="40"/>
        <v>28.628553106450447</v>
      </c>
      <c r="E558">
        <f t="shared" ca="1" si="41"/>
        <v>1</v>
      </c>
      <c r="F558" s="84">
        <f t="shared" si="42"/>
        <v>46</v>
      </c>
      <c r="G558">
        <v>46</v>
      </c>
      <c r="H558">
        <v>1</v>
      </c>
      <c r="I558">
        <f t="shared" si="43"/>
        <v>1</v>
      </c>
      <c r="J558">
        <f t="shared" si="44"/>
        <v>8.7060000000000002E-4</v>
      </c>
    </row>
    <row r="559" spans="4:10">
      <c r="D559">
        <f t="shared" ca="1" si="40"/>
        <v>24.311072741489014</v>
      </c>
      <c r="E559">
        <f t="shared" ca="1" si="41"/>
        <v>1</v>
      </c>
      <c r="F559" s="84">
        <f t="shared" si="42"/>
        <v>39</v>
      </c>
      <c r="G559">
        <v>39</v>
      </c>
      <c r="H559">
        <v>1</v>
      </c>
      <c r="I559">
        <f t="shared" si="43"/>
        <v>1</v>
      </c>
      <c r="J559">
        <f t="shared" si="44"/>
        <v>4.8622999999999998E-4</v>
      </c>
    </row>
    <row r="560" spans="4:10">
      <c r="D560">
        <f t="shared" ca="1" si="40"/>
        <v>30.15965291266189</v>
      </c>
      <c r="E560">
        <f t="shared" ca="1" si="41"/>
        <v>1</v>
      </c>
      <c r="F560" s="84">
        <f t="shared" si="42"/>
        <v>64</v>
      </c>
      <c r="G560">
        <v>64</v>
      </c>
      <c r="H560">
        <v>0</v>
      </c>
      <c r="I560">
        <f t="shared" si="43"/>
        <v>1</v>
      </c>
      <c r="J560">
        <f t="shared" si="44"/>
        <v>8.6836399999999994E-3</v>
      </c>
    </row>
    <row r="561" spans="4:10">
      <c r="D561">
        <f t="shared" ca="1" si="40"/>
        <v>45.825555750457625</v>
      </c>
      <c r="E561">
        <f t="shared" ca="1" si="41"/>
        <v>1</v>
      </c>
      <c r="F561" s="84">
        <f t="shared" si="42"/>
        <v>29</v>
      </c>
      <c r="G561">
        <v>29</v>
      </c>
      <c r="H561">
        <v>1</v>
      </c>
      <c r="I561">
        <f t="shared" si="43"/>
        <v>1</v>
      </c>
      <c r="J561">
        <f t="shared" si="44"/>
        <v>3.1763000000000001E-4</v>
      </c>
    </row>
    <row r="562" spans="4:10">
      <c r="D562">
        <f t="shared" ca="1" si="40"/>
        <v>63.793406284675818</v>
      </c>
      <c r="E562">
        <f t="shared" ca="1" si="41"/>
        <v>1</v>
      </c>
      <c r="F562" s="84">
        <f t="shared" si="42"/>
        <v>41</v>
      </c>
      <c r="G562">
        <v>41</v>
      </c>
      <c r="H562">
        <v>1</v>
      </c>
      <c r="I562">
        <f t="shared" si="43"/>
        <v>1</v>
      </c>
      <c r="J562">
        <f t="shared" si="44"/>
        <v>5.6607000000000001E-4</v>
      </c>
    </row>
    <row r="563" spans="4:10">
      <c r="D563">
        <f t="shared" ca="1" si="40"/>
        <v>31.822012984824923</v>
      </c>
      <c r="E563">
        <f t="shared" ca="1" si="41"/>
        <v>0</v>
      </c>
      <c r="F563" s="84">
        <f t="shared" si="42"/>
        <v>60</v>
      </c>
      <c r="G563">
        <v>60</v>
      </c>
      <c r="H563">
        <v>1</v>
      </c>
      <c r="I563">
        <f t="shared" si="43"/>
        <v>1</v>
      </c>
      <c r="J563">
        <f t="shared" si="44"/>
        <v>3.06333E-3</v>
      </c>
    </row>
    <row r="564" spans="4:10">
      <c r="D564">
        <f t="shared" ca="1" si="40"/>
        <v>41.164235960501379</v>
      </c>
      <c r="E564">
        <f t="shared" ca="1" si="41"/>
        <v>0</v>
      </c>
      <c r="F564" s="84">
        <f t="shared" si="42"/>
        <v>56</v>
      </c>
      <c r="G564">
        <v>56</v>
      </c>
      <c r="H564">
        <v>1</v>
      </c>
      <c r="I564">
        <f t="shared" si="43"/>
        <v>1</v>
      </c>
      <c r="J564">
        <f t="shared" si="44"/>
        <v>2.2598000000000002E-3</v>
      </c>
    </row>
    <row r="565" spans="4:10">
      <c r="D565">
        <f t="shared" ca="1" si="40"/>
        <v>38.309563433375899</v>
      </c>
      <c r="E565">
        <f t="shared" ca="1" si="41"/>
        <v>1</v>
      </c>
      <c r="F565" s="84">
        <f t="shared" si="42"/>
        <v>43</v>
      </c>
      <c r="G565">
        <v>43</v>
      </c>
      <c r="H565">
        <v>1</v>
      </c>
      <c r="I565">
        <f t="shared" si="43"/>
        <v>1</v>
      </c>
      <c r="J565">
        <f t="shared" si="44"/>
        <v>6.6288000000000002E-4</v>
      </c>
    </row>
    <row r="566" spans="4:10">
      <c r="D566">
        <f t="shared" ca="1" si="40"/>
        <v>25.093011733835262</v>
      </c>
      <c r="E566">
        <f t="shared" ca="1" si="41"/>
        <v>0</v>
      </c>
      <c r="F566" s="84">
        <f t="shared" si="42"/>
        <v>63</v>
      </c>
      <c r="G566">
        <v>63</v>
      </c>
      <c r="H566">
        <v>1</v>
      </c>
      <c r="I566">
        <f t="shared" si="43"/>
        <v>1</v>
      </c>
      <c r="J566">
        <f t="shared" si="44"/>
        <v>3.7797199999999999E-3</v>
      </c>
    </row>
    <row r="567" spans="4:10">
      <c r="D567">
        <f t="shared" ca="1" si="40"/>
        <v>43.0037931215764</v>
      </c>
      <c r="E567">
        <f t="shared" ca="1" si="41"/>
        <v>1</v>
      </c>
      <c r="F567" s="84">
        <f t="shared" si="42"/>
        <v>73</v>
      </c>
      <c r="G567">
        <v>73</v>
      </c>
      <c r="H567">
        <v>1</v>
      </c>
      <c r="I567">
        <f t="shared" si="43"/>
        <v>1</v>
      </c>
      <c r="J567">
        <f t="shared" si="44"/>
        <v>9.4021599999999997E-3</v>
      </c>
    </row>
    <row r="568" spans="4:10">
      <c r="D568">
        <f t="shared" ca="1" si="40"/>
        <v>27.266971735625962</v>
      </c>
      <c r="E568">
        <f t="shared" ca="1" si="41"/>
        <v>1</v>
      </c>
      <c r="F568" s="84">
        <f t="shared" si="42"/>
        <v>44</v>
      </c>
      <c r="G568">
        <v>44</v>
      </c>
      <c r="H568">
        <v>0</v>
      </c>
      <c r="I568">
        <f t="shared" si="43"/>
        <v>1</v>
      </c>
      <c r="J568">
        <f t="shared" si="44"/>
        <v>1.5861E-3</v>
      </c>
    </row>
    <row r="569" spans="4:10">
      <c r="D569">
        <f t="shared" ca="1" si="40"/>
        <v>63.810766256037439</v>
      </c>
      <c r="E569">
        <f t="shared" ca="1" si="41"/>
        <v>1</v>
      </c>
      <c r="F569" s="84">
        <f t="shared" si="42"/>
        <v>81</v>
      </c>
      <c r="G569">
        <v>81</v>
      </c>
      <c r="H569">
        <v>0</v>
      </c>
      <c r="I569">
        <f t="shared" si="43"/>
        <v>1</v>
      </c>
      <c r="J569">
        <f t="shared" si="44"/>
        <v>4.7982339999999998E-2</v>
      </c>
    </row>
    <row r="570" spans="4:10">
      <c r="D570">
        <f t="shared" ca="1" si="40"/>
        <v>62.818768040572877</v>
      </c>
      <c r="E570">
        <f t="shared" ca="1" si="41"/>
        <v>1</v>
      </c>
      <c r="F570" s="84">
        <f t="shared" si="42"/>
        <v>84</v>
      </c>
      <c r="G570">
        <v>84</v>
      </c>
      <c r="H570">
        <v>1</v>
      </c>
      <c r="I570">
        <f t="shared" si="43"/>
        <v>1</v>
      </c>
      <c r="J570">
        <f t="shared" si="44"/>
        <v>3.9859650000000003E-2</v>
      </c>
    </row>
    <row r="571" spans="4:10">
      <c r="D571">
        <f t="shared" ca="1" si="40"/>
        <v>39.829972242158171</v>
      </c>
      <c r="E571">
        <f t="shared" ca="1" si="41"/>
        <v>1</v>
      </c>
      <c r="F571" s="84">
        <f t="shared" si="42"/>
        <v>31</v>
      </c>
      <c r="G571">
        <v>31</v>
      </c>
      <c r="H571">
        <v>0</v>
      </c>
      <c r="I571">
        <f t="shared" si="43"/>
        <v>1</v>
      </c>
      <c r="J571">
        <f t="shared" si="44"/>
        <v>5.9367000000000003E-4</v>
      </c>
    </row>
    <row r="572" spans="4:10">
      <c r="D572">
        <f t="shared" ca="1" si="40"/>
        <v>62.36967458985275</v>
      </c>
      <c r="E572">
        <f t="shared" ca="1" si="41"/>
        <v>1</v>
      </c>
      <c r="F572" s="84">
        <f t="shared" si="42"/>
        <v>46</v>
      </c>
      <c r="G572">
        <v>46</v>
      </c>
      <c r="H572">
        <v>1</v>
      </c>
      <c r="I572">
        <f t="shared" si="43"/>
        <v>1</v>
      </c>
      <c r="J572">
        <f t="shared" si="44"/>
        <v>8.7060000000000002E-4</v>
      </c>
    </row>
    <row r="573" spans="4:10">
      <c r="D573">
        <f t="shared" ca="1" si="40"/>
        <v>36.72674871976475</v>
      </c>
      <c r="E573">
        <f t="shared" ca="1" si="41"/>
        <v>0</v>
      </c>
      <c r="F573" s="84">
        <f t="shared" si="42"/>
        <v>54</v>
      </c>
      <c r="G573">
        <v>54</v>
      </c>
      <c r="H573">
        <v>1</v>
      </c>
      <c r="I573">
        <f t="shared" si="43"/>
        <v>1</v>
      </c>
      <c r="J573">
        <f t="shared" si="44"/>
        <v>1.9186400000000001E-3</v>
      </c>
    </row>
    <row r="574" spans="4:10">
      <c r="D574">
        <f t="shared" ca="1" si="40"/>
        <v>59.585654304816067</v>
      </c>
      <c r="E574">
        <f t="shared" ca="1" si="41"/>
        <v>1</v>
      </c>
      <c r="F574" s="84">
        <f t="shared" si="42"/>
        <v>65</v>
      </c>
      <c r="G574">
        <v>65</v>
      </c>
      <c r="H574">
        <v>1</v>
      </c>
      <c r="I574">
        <f t="shared" si="43"/>
        <v>1</v>
      </c>
      <c r="J574">
        <f t="shared" si="44"/>
        <v>4.3744200000000004E-3</v>
      </c>
    </row>
    <row r="575" spans="4:10">
      <c r="D575">
        <f t="shared" ca="1" si="40"/>
        <v>47.124093443445652</v>
      </c>
      <c r="E575">
        <f t="shared" ca="1" si="41"/>
        <v>1</v>
      </c>
      <c r="F575" s="84">
        <f t="shared" si="42"/>
        <v>78</v>
      </c>
      <c r="G575">
        <v>78</v>
      </c>
      <c r="H575">
        <v>1</v>
      </c>
      <c r="I575">
        <f t="shared" si="43"/>
        <v>1</v>
      </c>
      <c r="J575">
        <f t="shared" si="44"/>
        <v>1.8496809999999999E-2</v>
      </c>
    </row>
    <row r="576" spans="4:10">
      <c r="D576">
        <f t="shared" ca="1" si="40"/>
        <v>49.818307492802418</v>
      </c>
      <c r="E576">
        <f t="shared" ca="1" si="41"/>
        <v>0</v>
      </c>
      <c r="F576" s="84">
        <f t="shared" si="42"/>
        <v>55</v>
      </c>
      <c r="G576">
        <v>55</v>
      </c>
      <c r="H576">
        <v>1</v>
      </c>
      <c r="I576">
        <f t="shared" si="43"/>
        <v>1</v>
      </c>
      <c r="J576">
        <f t="shared" si="44"/>
        <v>2.0857200000000001E-3</v>
      </c>
    </row>
    <row r="577" spans="4:10">
      <c r="D577">
        <f t="shared" ca="1" si="40"/>
        <v>72.575190454152036</v>
      </c>
      <c r="E577">
        <f t="shared" ca="1" si="41"/>
        <v>1</v>
      </c>
      <c r="F577" s="84">
        <f t="shared" si="42"/>
        <v>47</v>
      </c>
      <c r="G577">
        <v>47</v>
      </c>
      <c r="H577">
        <v>1</v>
      </c>
      <c r="I577">
        <f t="shared" si="43"/>
        <v>1</v>
      </c>
      <c r="J577">
        <f t="shared" si="44"/>
        <v>9.6336999999999996E-4</v>
      </c>
    </row>
    <row r="578" spans="4:10">
      <c r="D578">
        <f t="shared" ref="D578:D641" ca="1" si="45">NORMINV(RAND(), mean_age, sd_age)</f>
        <v>59.507372012840506</v>
      </c>
      <c r="E578">
        <f t="shared" ref="E578:E641" ca="1" si="46">_xlfn.BINOM.INV(1, prop_female, RAND())</f>
        <v>1</v>
      </c>
      <c r="F578" s="84">
        <f t="shared" ref="F578:F641" si="47">ROUND(G578,0)</f>
        <v>42</v>
      </c>
      <c r="G578">
        <v>42</v>
      </c>
      <c r="H578">
        <v>1</v>
      </c>
      <c r="I578">
        <f t="shared" ref="I578:I641" si="48">IF(G578&lt;18, 0, 1)</f>
        <v>1</v>
      </c>
      <c r="J578">
        <f t="shared" ref="J578:J641" si="49">IF(H578=0,VLOOKUP(G578,$M$2:$O$102,2,TRUE),VLOOKUP(G578,$M$2:$O$102,3,TRUE))</f>
        <v>6.1160999999999995E-4</v>
      </c>
    </row>
    <row r="579" spans="4:10">
      <c r="D579">
        <f t="shared" ca="1" si="45"/>
        <v>31.401431397223469</v>
      </c>
      <c r="E579">
        <f t="shared" ca="1" si="46"/>
        <v>1</v>
      </c>
      <c r="F579" s="84">
        <f t="shared" si="47"/>
        <v>53</v>
      </c>
      <c r="G579">
        <v>53</v>
      </c>
      <c r="H579">
        <v>1</v>
      </c>
      <c r="I579">
        <f t="shared" si="48"/>
        <v>1</v>
      </c>
      <c r="J579">
        <f t="shared" si="49"/>
        <v>1.7577700000000001E-3</v>
      </c>
    </row>
    <row r="580" spans="4:10">
      <c r="D580">
        <f t="shared" ca="1" si="45"/>
        <v>51.480477918481192</v>
      </c>
      <c r="E580">
        <f t="shared" ca="1" si="46"/>
        <v>1</v>
      </c>
      <c r="F580" s="84">
        <f t="shared" si="47"/>
        <v>50</v>
      </c>
      <c r="G580">
        <v>50</v>
      </c>
      <c r="H580">
        <v>0</v>
      </c>
      <c r="I580">
        <f t="shared" si="48"/>
        <v>1</v>
      </c>
      <c r="J580">
        <f t="shared" si="49"/>
        <v>2.92384E-3</v>
      </c>
    </row>
    <row r="581" spans="4:10">
      <c r="D581">
        <f t="shared" ca="1" si="45"/>
        <v>33.398471006394786</v>
      </c>
      <c r="E581">
        <f t="shared" ca="1" si="46"/>
        <v>1</v>
      </c>
      <c r="F581" s="84">
        <f t="shared" si="47"/>
        <v>55</v>
      </c>
      <c r="G581">
        <v>55</v>
      </c>
      <c r="H581">
        <v>1</v>
      </c>
      <c r="I581">
        <f t="shared" si="48"/>
        <v>1</v>
      </c>
      <c r="J581">
        <f t="shared" si="49"/>
        <v>2.0857200000000001E-3</v>
      </c>
    </row>
    <row r="582" spans="4:10">
      <c r="D582">
        <f t="shared" ca="1" si="45"/>
        <v>74.949899070364111</v>
      </c>
      <c r="E582">
        <f t="shared" ca="1" si="46"/>
        <v>1</v>
      </c>
      <c r="F582" s="84">
        <f t="shared" si="47"/>
        <v>43</v>
      </c>
      <c r="G582">
        <v>43</v>
      </c>
      <c r="H582">
        <v>1</v>
      </c>
      <c r="I582">
        <f t="shared" si="48"/>
        <v>1</v>
      </c>
      <c r="J582">
        <f t="shared" si="49"/>
        <v>6.6288000000000002E-4</v>
      </c>
    </row>
    <row r="583" spans="4:10">
      <c r="D583">
        <f t="shared" ca="1" si="45"/>
        <v>79.300676242221499</v>
      </c>
      <c r="E583">
        <f t="shared" ca="1" si="46"/>
        <v>0</v>
      </c>
      <c r="F583" s="84">
        <f t="shared" si="47"/>
        <v>51</v>
      </c>
      <c r="G583">
        <v>51</v>
      </c>
      <c r="H583">
        <v>0</v>
      </c>
      <c r="I583">
        <f t="shared" si="48"/>
        <v>1</v>
      </c>
      <c r="J583">
        <f t="shared" si="49"/>
        <v>3.1559499999999998E-3</v>
      </c>
    </row>
    <row r="584" spans="4:10">
      <c r="D584">
        <f t="shared" ca="1" si="45"/>
        <v>26.951779134855702</v>
      </c>
      <c r="E584">
        <f t="shared" ca="1" si="46"/>
        <v>1</v>
      </c>
      <c r="F584" s="84">
        <f t="shared" si="47"/>
        <v>29</v>
      </c>
      <c r="G584">
        <v>29</v>
      </c>
      <c r="H584">
        <v>1</v>
      </c>
      <c r="I584">
        <f t="shared" si="48"/>
        <v>1</v>
      </c>
      <c r="J584">
        <f t="shared" si="49"/>
        <v>3.1763000000000001E-4</v>
      </c>
    </row>
    <row r="585" spans="4:10">
      <c r="D585">
        <f t="shared" ca="1" si="45"/>
        <v>87.534679455088281</v>
      </c>
      <c r="E585">
        <f t="shared" ca="1" si="46"/>
        <v>1</v>
      </c>
      <c r="F585" s="84">
        <f t="shared" si="47"/>
        <v>46</v>
      </c>
      <c r="G585">
        <v>46</v>
      </c>
      <c r="H585">
        <v>1</v>
      </c>
      <c r="I585">
        <f t="shared" si="48"/>
        <v>1</v>
      </c>
      <c r="J585">
        <f t="shared" si="49"/>
        <v>8.7060000000000002E-4</v>
      </c>
    </row>
    <row r="586" spans="4:10">
      <c r="D586">
        <f t="shared" ca="1" si="45"/>
        <v>-1.7391064593931063</v>
      </c>
      <c r="E586">
        <f t="shared" ca="1" si="46"/>
        <v>1</v>
      </c>
      <c r="F586" s="84">
        <f t="shared" si="47"/>
        <v>64</v>
      </c>
      <c r="G586">
        <v>64</v>
      </c>
      <c r="H586">
        <v>1</v>
      </c>
      <c r="I586">
        <f t="shared" si="48"/>
        <v>1</v>
      </c>
      <c r="J586">
        <f t="shared" si="49"/>
        <v>4.06529E-3</v>
      </c>
    </row>
    <row r="587" spans="4:10">
      <c r="D587">
        <f t="shared" ca="1" si="45"/>
        <v>57.37286391933074</v>
      </c>
      <c r="E587">
        <f t="shared" ca="1" si="46"/>
        <v>1</v>
      </c>
      <c r="F587" s="84">
        <f t="shared" si="47"/>
        <v>80</v>
      </c>
      <c r="G587">
        <v>80</v>
      </c>
      <c r="H587">
        <v>0</v>
      </c>
      <c r="I587">
        <f t="shared" si="48"/>
        <v>1</v>
      </c>
      <c r="J587">
        <f t="shared" si="49"/>
        <v>4.3443530000000001E-2</v>
      </c>
    </row>
    <row r="588" spans="4:10">
      <c r="D588">
        <f t="shared" ca="1" si="45"/>
        <v>71.081196749245308</v>
      </c>
      <c r="E588">
        <f t="shared" ca="1" si="46"/>
        <v>1</v>
      </c>
      <c r="F588" s="84">
        <f t="shared" si="47"/>
        <v>18</v>
      </c>
      <c r="G588">
        <v>18</v>
      </c>
      <c r="H588">
        <v>1</v>
      </c>
      <c r="I588">
        <f t="shared" si="48"/>
        <v>1</v>
      </c>
      <c r="J588">
        <f t="shared" si="49"/>
        <v>1.4616999999999999E-4</v>
      </c>
    </row>
    <row r="589" spans="4:10">
      <c r="D589">
        <f t="shared" ca="1" si="45"/>
        <v>59.907757154289563</v>
      </c>
      <c r="E589">
        <f t="shared" ca="1" si="46"/>
        <v>1</v>
      </c>
      <c r="F589" s="84">
        <f t="shared" si="47"/>
        <v>47</v>
      </c>
      <c r="G589">
        <v>47</v>
      </c>
      <c r="H589">
        <v>1</v>
      </c>
      <c r="I589">
        <f t="shared" si="48"/>
        <v>1</v>
      </c>
      <c r="J589">
        <f t="shared" si="49"/>
        <v>9.6336999999999996E-4</v>
      </c>
    </row>
    <row r="590" spans="4:10">
      <c r="D590">
        <f t="shared" ca="1" si="45"/>
        <v>22.427345916348507</v>
      </c>
      <c r="E590">
        <f t="shared" ca="1" si="46"/>
        <v>0</v>
      </c>
      <c r="F590" s="84">
        <f t="shared" si="47"/>
        <v>78</v>
      </c>
      <c r="G590">
        <v>78</v>
      </c>
      <c r="H590">
        <v>0</v>
      </c>
      <c r="I590">
        <f t="shared" si="48"/>
        <v>1</v>
      </c>
      <c r="J590">
        <f t="shared" si="49"/>
        <v>3.5170260000000002E-2</v>
      </c>
    </row>
    <row r="591" spans="4:10">
      <c r="D591">
        <f t="shared" ca="1" si="45"/>
        <v>39.388552261079084</v>
      </c>
      <c r="E591">
        <f t="shared" ca="1" si="46"/>
        <v>1</v>
      </c>
      <c r="F591" s="84">
        <f t="shared" si="47"/>
        <v>65</v>
      </c>
      <c r="G591">
        <v>65</v>
      </c>
      <c r="H591">
        <v>1</v>
      </c>
      <c r="I591">
        <f t="shared" si="48"/>
        <v>1</v>
      </c>
      <c r="J591">
        <f t="shared" si="49"/>
        <v>4.3744200000000004E-3</v>
      </c>
    </row>
    <row r="592" spans="4:10">
      <c r="D592">
        <f t="shared" ca="1" si="45"/>
        <v>61.275737563489884</v>
      </c>
      <c r="E592">
        <f t="shared" ca="1" si="46"/>
        <v>1</v>
      </c>
      <c r="F592" s="84">
        <f t="shared" si="47"/>
        <v>50</v>
      </c>
      <c r="G592">
        <v>50</v>
      </c>
      <c r="H592">
        <v>1</v>
      </c>
      <c r="I592">
        <f t="shared" si="48"/>
        <v>1</v>
      </c>
      <c r="J592">
        <f t="shared" si="49"/>
        <v>1.31766E-3</v>
      </c>
    </row>
    <row r="593" spans="4:10">
      <c r="D593">
        <f t="shared" ca="1" si="45"/>
        <v>28.553100848284913</v>
      </c>
      <c r="E593">
        <f t="shared" ca="1" si="46"/>
        <v>1</v>
      </c>
      <c r="F593" s="84">
        <f t="shared" si="47"/>
        <v>30</v>
      </c>
      <c r="G593">
        <v>30</v>
      </c>
      <c r="H593">
        <v>1</v>
      </c>
      <c r="I593">
        <f t="shared" si="48"/>
        <v>1</v>
      </c>
      <c r="J593">
        <f t="shared" si="49"/>
        <v>3.1370999999999998E-4</v>
      </c>
    </row>
    <row r="594" spans="4:10">
      <c r="D594">
        <f t="shared" ca="1" si="45"/>
        <v>13.286814477063004</v>
      </c>
      <c r="E594">
        <f t="shared" ca="1" si="46"/>
        <v>1</v>
      </c>
      <c r="F594" s="84">
        <f t="shared" si="47"/>
        <v>60</v>
      </c>
      <c r="G594">
        <v>60</v>
      </c>
      <c r="H594">
        <v>0</v>
      </c>
      <c r="I594">
        <f t="shared" si="48"/>
        <v>1</v>
      </c>
      <c r="J594">
        <f t="shared" si="49"/>
        <v>6.1923100000000003E-3</v>
      </c>
    </row>
    <row r="595" spans="4:10">
      <c r="D595">
        <f t="shared" ca="1" si="45"/>
        <v>57.68597751226293</v>
      </c>
      <c r="E595">
        <f t="shared" ca="1" si="46"/>
        <v>1</v>
      </c>
      <c r="F595" s="84">
        <f t="shared" si="47"/>
        <v>58</v>
      </c>
      <c r="G595">
        <v>58</v>
      </c>
      <c r="H595">
        <v>1</v>
      </c>
      <c r="I595">
        <f t="shared" si="48"/>
        <v>1</v>
      </c>
      <c r="J595">
        <f t="shared" si="49"/>
        <v>2.63817E-3</v>
      </c>
    </row>
    <row r="596" spans="4:10">
      <c r="D596">
        <f t="shared" ca="1" si="45"/>
        <v>30.185133933200166</v>
      </c>
      <c r="E596">
        <f t="shared" ca="1" si="46"/>
        <v>0</v>
      </c>
      <c r="F596" s="84">
        <f t="shared" si="47"/>
        <v>38</v>
      </c>
      <c r="G596">
        <v>38</v>
      </c>
      <c r="H596">
        <v>0</v>
      </c>
      <c r="I596">
        <f t="shared" si="48"/>
        <v>1</v>
      </c>
      <c r="J596">
        <f t="shared" si="49"/>
        <v>8.8648999999999998E-4</v>
      </c>
    </row>
    <row r="597" spans="4:10">
      <c r="D597">
        <f t="shared" ca="1" si="45"/>
        <v>27.77521495574204</v>
      </c>
      <c r="E597">
        <f t="shared" ca="1" si="46"/>
        <v>1</v>
      </c>
      <c r="F597" s="84">
        <f t="shared" si="47"/>
        <v>40</v>
      </c>
      <c r="G597">
        <v>40</v>
      </c>
      <c r="H597">
        <v>1</v>
      </c>
      <c r="I597">
        <f t="shared" si="48"/>
        <v>1</v>
      </c>
      <c r="J597">
        <f t="shared" si="49"/>
        <v>5.2483E-4</v>
      </c>
    </row>
    <row r="598" spans="4:10">
      <c r="D598">
        <f t="shared" ca="1" si="45"/>
        <v>14.272567336468938</v>
      </c>
      <c r="E598">
        <f t="shared" ca="1" si="46"/>
        <v>1</v>
      </c>
      <c r="F598" s="84">
        <f t="shared" si="47"/>
        <v>30</v>
      </c>
      <c r="G598">
        <v>30</v>
      </c>
      <c r="H598">
        <v>0</v>
      </c>
      <c r="I598">
        <f t="shared" si="48"/>
        <v>1</v>
      </c>
      <c r="J598">
        <f t="shared" si="49"/>
        <v>5.5917E-4</v>
      </c>
    </row>
    <row r="599" spans="4:10">
      <c r="D599">
        <f t="shared" ca="1" si="45"/>
        <v>73.130658539778111</v>
      </c>
      <c r="E599">
        <f t="shared" ca="1" si="46"/>
        <v>0</v>
      </c>
      <c r="F599" s="84">
        <f t="shared" si="47"/>
        <v>22</v>
      </c>
      <c r="G599">
        <v>22</v>
      </c>
      <c r="H599">
        <v>1</v>
      </c>
      <c r="I599">
        <f t="shared" si="48"/>
        <v>1</v>
      </c>
      <c r="J599">
        <f t="shared" si="49"/>
        <v>2.0557E-4</v>
      </c>
    </row>
    <row r="600" spans="4:10">
      <c r="D600">
        <f t="shared" ca="1" si="45"/>
        <v>35.914404783103294</v>
      </c>
      <c r="E600">
        <f t="shared" ca="1" si="46"/>
        <v>1</v>
      </c>
      <c r="F600" s="84">
        <f t="shared" si="47"/>
        <v>29</v>
      </c>
      <c r="G600">
        <v>29</v>
      </c>
      <c r="H600">
        <v>1</v>
      </c>
      <c r="I600">
        <f t="shared" si="48"/>
        <v>1</v>
      </c>
      <c r="J600">
        <f t="shared" si="49"/>
        <v>3.1763000000000001E-4</v>
      </c>
    </row>
    <row r="601" spans="4:10">
      <c r="D601">
        <f t="shared" ca="1" si="45"/>
        <v>42.816513098525625</v>
      </c>
      <c r="E601">
        <f t="shared" ca="1" si="46"/>
        <v>1</v>
      </c>
      <c r="F601" s="84">
        <f t="shared" si="47"/>
        <v>9</v>
      </c>
      <c r="G601">
        <v>9</v>
      </c>
      <c r="H601">
        <v>1</v>
      </c>
      <c r="I601">
        <f t="shared" si="48"/>
        <v>0</v>
      </c>
      <c r="J601">
        <f t="shared" si="49"/>
        <v>1.0249E-4</v>
      </c>
    </row>
    <row r="602" spans="4:10">
      <c r="D602">
        <f t="shared" ca="1" si="45"/>
        <v>43.637152369492227</v>
      </c>
      <c r="E602">
        <f t="shared" ca="1" si="46"/>
        <v>1</v>
      </c>
      <c r="F602" s="84">
        <f t="shared" si="47"/>
        <v>53</v>
      </c>
      <c r="G602">
        <v>53</v>
      </c>
      <c r="H602">
        <v>1</v>
      </c>
      <c r="I602">
        <f t="shared" si="48"/>
        <v>1</v>
      </c>
      <c r="J602">
        <f t="shared" si="49"/>
        <v>1.7577700000000001E-3</v>
      </c>
    </row>
    <row r="603" spans="4:10">
      <c r="D603">
        <f t="shared" ca="1" si="45"/>
        <v>26.754700344889088</v>
      </c>
      <c r="E603">
        <f t="shared" ca="1" si="46"/>
        <v>1</v>
      </c>
      <c r="F603" s="84">
        <f t="shared" si="47"/>
        <v>39</v>
      </c>
      <c r="G603">
        <v>39</v>
      </c>
      <c r="H603">
        <v>1</v>
      </c>
      <c r="I603">
        <f t="shared" si="48"/>
        <v>1</v>
      </c>
      <c r="J603">
        <f t="shared" si="49"/>
        <v>4.8622999999999998E-4</v>
      </c>
    </row>
    <row r="604" spans="4:10">
      <c r="D604">
        <f t="shared" ca="1" si="45"/>
        <v>60.809864870154797</v>
      </c>
      <c r="E604">
        <f t="shared" ca="1" si="46"/>
        <v>1</v>
      </c>
      <c r="F604" s="84">
        <f t="shared" si="47"/>
        <v>37</v>
      </c>
      <c r="G604">
        <v>37</v>
      </c>
      <c r="H604">
        <v>0</v>
      </c>
      <c r="I604">
        <f t="shared" si="48"/>
        <v>1</v>
      </c>
      <c r="J604">
        <f t="shared" si="49"/>
        <v>8.3212E-4</v>
      </c>
    </row>
    <row r="605" spans="4:10">
      <c r="D605">
        <f t="shared" ca="1" si="45"/>
        <v>36.246938820033378</v>
      </c>
      <c r="E605">
        <f t="shared" ca="1" si="46"/>
        <v>1</v>
      </c>
      <c r="F605" s="84">
        <f t="shared" si="47"/>
        <v>21</v>
      </c>
      <c r="G605">
        <v>21</v>
      </c>
      <c r="H605">
        <v>0</v>
      </c>
      <c r="I605">
        <f t="shared" si="48"/>
        <v>1</v>
      </c>
      <c r="J605">
        <f t="shared" si="49"/>
        <v>3.0009999999999998E-4</v>
      </c>
    </row>
    <row r="606" spans="4:10">
      <c r="D606">
        <f t="shared" ca="1" si="45"/>
        <v>59.859331697526393</v>
      </c>
      <c r="E606">
        <f t="shared" ca="1" si="46"/>
        <v>1</v>
      </c>
      <c r="F606" s="84">
        <f t="shared" si="47"/>
        <v>69</v>
      </c>
      <c r="G606">
        <v>69</v>
      </c>
      <c r="H606">
        <v>0</v>
      </c>
      <c r="I606">
        <f t="shared" si="48"/>
        <v>1</v>
      </c>
      <c r="J606">
        <f t="shared" si="49"/>
        <v>1.299902E-2</v>
      </c>
    </row>
    <row r="607" spans="4:10">
      <c r="D607">
        <f t="shared" ca="1" si="45"/>
        <v>29.492109166264328</v>
      </c>
      <c r="E607">
        <f t="shared" ca="1" si="46"/>
        <v>1</v>
      </c>
      <c r="F607" s="84">
        <f t="shared" si="47"/>
        <v>51</v>
      </c>
      <c r="G607">
        <v>51</v>
      </c>
      <c r="H607">
        <v>1</v>
      </c>
      <c r="I607">
        <f t="shared" si="48"/>
        <v>1</v>
      </c>
      <c r="J607">
        <f t="shared" si="49"/>
        <v>1.4570900000000001E-3</v>
      </c>
    </row>
    <row r="608" spans="4:10">
      <c r="D608">
        <f t="shared" ca="1" si="45"/>
        <v>11.396686728072588</v>
      </c>
      <c r="E608">
        <f t="shared" ca="1" si="46"/>
        <v>1</v>
      </c>
      <c r="F608" s="84">
        <f t="shared" si="47"/>
        <v>68</v>
      </c>
      <c r="G608">
        <v>68</v>
      </c>
      <c r="H608">
        <v>0</v>
      </c>
      <c r="I608">
        <f t="shared" si="48"/>
        <v>1</v>
      </c>
      <c r="J608">
        <f t="shared" si="49"/>
        <v>1.192709E-2</v>
      </c>
    </row>
    <row r="609" spans="4:10">
      <c r="D609">
        <f t="shared" ca="1" si="45"/>
        <v>22.817377673656708</v>
      </c>
      <c r="E609">
        <f t="shared" ca="1" si="46"/>
        <v>1</v>
      </c>
      <c r="F609" s="84">
        <f t="shared" si="47"/>
        <v>33</v>
      </c>
      <c r="G609">
        <v>33</v>
      </c>
      <c r="H609">
        <v>1</v>
      </c>
      <c r="I609">
        <f t="shared" si="48"/>
        <v>1</v>
      </c>
      <c r="J609">
        <f t="shared" si="49"/>
        <v>3.1915999999999997E-4</v>
      </c>
    </row>
    <row r="610" spans="4:10">
      <c r="D610">
        <f t="shared" ca="1" si="45"/>
        <v>34.836425674810918</v>
      </c>
      <c r="E610">
        <f t="shared" ca="1" si="46"/>
        <v>1</v>
      </c>
      <c r="F610" s="84">
        <f t="shared" si="47"/>
        <v>49</v>
      </c>
      <c r="G610">
        <v>49</v>
      </c>
      <c r="H610">
        <v>1</v>
      </c>
      <c r="I610">
        <f t="shared" si="48"/>
        <v>1</v>
      </c>
      <c r="J610">
        <f t="shared" si="49"/>
        <v>1.1877400000000001E-3</v>
      </c>
    </row>
    <row r="611" spans="4:10">
      <c r="D611">
        <f t="shared" ca="1" si="45"/>
        <v>51.500929826980602</v>
      </c>
      <c r="E611">
        <f t="shared" ca="1" si="46"/>
        <v>1</v>
      </c>
      <c r="F611" s="84">
        <f t="shared" si="47"/>
        <v>47</v>
      </c>
      <c r="G611">
        <v>47</v>
      </c>
      <c r="H611">
        <v>0</v>
      </c>
      <c r="I611">
        <f t="shared" si="48"/>
        <v>1</v>
      </c>
      <c r="J611">
        <f t="shared" si="49"/>
        <v>2.2148200000000002E-3</v>
      </c>
    </row>
    <row r="612" spans="4:10">
      <c r="D612">
        <f t="shared" ca="1" si="45"/>
        <v>45.160531459930169</v>
      </c>
      <c r="E612">
        <f t="shared" ca="1" si="46"/>
        <v>0</v>
      </c>
      <c r="F612" s="84">
        <f t="shared" si="47"/>
        <v>45</v>
      </c>
      <c r="G612">
        <v>45</v>
      </c>
      <c r="H612">
        <v>1</v>
      </c>
      <c r="I612">
        <f t="shared" si="48"/>
        <v>1</v>
      </c>
      <c r="J612">
        <f t="shared" si="49"/>
        <v>7.9022999999999995E-4</v>
      </c>
    </row>
    <row r="613" spans="4:10">
      <c r="D613">
        <f t="shared" ca="1" si="45"/>
        <v>66.781066010752653</v>
      </c>
      <c r="E613">
        <f t="shared" ca="1" si="46"/>
        <v>1</v>
      </c>
      <c r="F613" s="84">
        <f t="shared" si="47"/>
        <v>45</v>
      </c>
      <c r="G613">
        <v>45</v>
      </c>
      <c r="H613">
        <v>0</v>
      </c>
      <c r="I613">
        <f t="shared" si="48"/>
        <v>1</v>
      </c>
      <c r="J613">
        <f t="shared" si="49"/>
        <v>1.7798099999999999E-3</v>
      </c>
    </row>
    <row r="614" spans="4:10">
      <c r="D614">
        <f t="shared" ca="1" si="45"/>
        <v>56.531157933853251</v>
      </c>
      <c r="E614">
        <f t="shared" ca="1" si="46"/>
        <v>0</v>
      </c>
      <c r="F614" s="84">
        <f t="shared" si="47"/>
        <v>60</v>
      </c>
      <c r="G614">
        <v>60</v>
      </c>
      <c r="H614">
        <v>1</v>
      </c>
      <c r="I614">
        <f t="shared" si="48"/>
        <v>1</v>
      </c>
      <c r="J614">
        <f t="shared" si="49"/>
        <v>3.06333E-3</v>
      </c>
    </row>
    <row r="615" spans="4:10">
      <c r="D615">
        <f t="shared" ca="1" si="45"/>
        <v>32.991795059525387</v>
      </c>
      <c r="E615">
        <f t="shared" ca="1" si="46"/>
        <v>1</v>
      </c>
      <c r="F615" s="84">
        <f t="shared" si="47"/>
        <v>61</v>
      </c>
      <c r="G615">
        <v>61</v>
      </c>
      <c r="H615">
        <v>0</v>
      </c>
      <c r="I615">
        <f t="shared" si="48"/>
        <v>1</v>
      </c>
      <c r="J615">
        <f t="shared" si="49"/>
        <v>6.7505899999999999E-3</v>
      </c>
    </row>
    <row r="616" spans="4:10">
      <c r="D616">
        <f t="shared" ca="1" si="45"/>
        <v>29.524186512227175</v>
      </c>
      <c r="E616">
        <f t="shared" ca="1" si="46"/>
        <v>1</v>
      </c>
      <c r="F616" s="84">
        <f t="shared" si="47"/>
        <v>41</v>
      </c>
      <c r="G616">
        <v>41</v>
      </c>
      <c r="H616">
        <v>1</v>
      </c>
      <c r="I616">
        <f t="shared" si="48"/>
        <v>1</v>
      </c>
      <c r="J616">
        <f t="shared" si="49"/>
        <v>5.6607000000000001E-4</v>
      </c>
    </row>
    <row r="617" spans="4:10">
      <c r="D617">
        <f t="shared" ca="1" si="45"/>
        <v>28.821118719936475</v>
      </c>
      <c r="E617">
        <f t="shared" ca="1" si="46"/>
        <v>1</v>
      </c>
      <c r="F617" s="84">
        <f t="shared" si="47"/>
        <v>46</v>
      </c>
      <c r="G617">
        <v>46</v>
      </c>
      <c r="H617">
        <v>0</v>
      </c>
      <c r="I617">
        <f t="shared" si="48"/>
        <v>1</v>
      </c>
      <c r="J617">
        <f t="shared" si="49"/>
        <v>1.9912900000000002E-3</v>
      </c>
    </row>
    <row r="618" spans="4:10">
      <c r="D618">
        <f t="shared" ca="1" si="45"/>
        <v>49.150424620028915</v>
      </c>
      <c r="E618">
        <f t="shared" ca="1" si="46"/>
        <v>1</v>
      </c>
      <c r="F618" s="84">
        <f t="shared" si="47"/>
        <v>59</v>
      </c>
      <c r="G618">
        <v>59</v>
      </c>
      <c r="H618">
        <v>0</v>
      </c>
      <c r="I618">
        <f t="shared" si="48"/>
        <v>1</v>
      </c>
      <c r="J618">
        <f t="shared" si="49"/>
        <v>5.67755E-3</v>
      </c>
    </row>
    <row r="619" spans="4:10">
      <c r="D619">
        <f t="shared" ca="1" si="45"/>
        <v>57.608754386499335</v>
      </c>
      <c r="E619">
        <f t="shared" ca="1" si="46"/>
        <v>1</v>
      </c>
      <c r="F619" s="84">
        <f t="shared" si="47"/>
        <v>38</v>
      </c>
      <c r="G619">
        <v>38</v>
      </c>
      <c r="H619">
        <v>1</v>
      </c>
      <c r="I619">
        <f t="shared" si="48"/>
        <v>1</v>
      </c>
      <c r="J619">
        <f t="shared" si="49"/>
        <v>4.4977E-4</v>
      </c>
    </row>
    <row r="620" spans="4:10">
      <c r="D620">
        <f t="shared" ca="1" si="45"/>
        <v>36.564357363905543</v>
      </c>
      <c r="E620">
        <f t="shared" ca="1" si="46"/>
        <v>1</v>
      </c>
      <c r="F620" s="84">
        <f t="shared" si="47"/>
        <v>64</v>
      </c>
      <c r="G620">
        <v>64</v>
      </c>
      <c r="H620">
        <v>0</v>
      </c>
      <c r="I620">
        <f t="shared" si="48"/>
        <v>1</v>
      </c>
      <c r="J620">
        <f t="shared" si="49"/>
        <v>8.6836399999999994E-3</v>
      </c>
    </row>
    <row r="621" spans="4:10">
      <c r="D621">
        <f t="shared" ca="1" si="45"/>
        <v>24.420588052132047</v>
      </c>
      <c r="E621">
        <f t="shared" ca="1" si="46"/>
        <v>1</v>
      </c>
      <c r="F621" s="84">
        <f t="shared" si="47"/>
        <v>85</v>
      </c>
      <c r="G621">
        <v>85</v>
      </c>
      <c r="H621">
        <v>1</v>
      </c>
      <c r="I621">
        <f t="shared" si="48"/>
        <v>1</v>
      </c>
      <c r="J621">
        <f t="shared" si="49"/>
        <v>4.4736579999999998E-2</v>
      </c>
    </row>
    <row r="622" spans="4:10">
      <c r="D622">
        <f t="shared" ca="1" si="45"/>
        <v>46.217689603582031</v>
      </c>
      <c r="E622">
        <f t="shared" ca="1" si="46"/>
        <v>1</v>
      </c>
      <c r="F622" s="84">
        <f t="shared" si="47"/>
        <v>56</v>
      </c>
      <c r="G622">
        <v>56</v>
      </c>
      <c r="H622">
        <v>1</v>
      </c>
      <c r="I622">
        <f t="shared" si="48"/>
        <v>1</v>
      </c>
      <c r="J622">
        <f t="shared" si="49"/>
        <v>2.2598000000000002E-3</v>
      </c>
    </row>
    <row r="623" spans="4:10">
      <c r="D623">
        <f t="shared" ca="1" si="45"/>
        <v>19.219118908635757</v>
      </c>
      <c r="E623">
        <f t="shared" ca="1" si="46"/>
        <v>1</v>
      </c>
      <c r="F623" s="84">
        <f t="shared" si="47"/>
        <v>57</v>
      </c>
      <c r="G623">
        <v>57</v>
      </c>
      <c r="H623">
        <v>1</v>
      </c>
      <c r="I623">
        <f t="shared" si="48"/>
        <v>1</v>
      </c>
      <c r="J623">
        <f t="shared" si="49"/>
        <v>2.4432899999999999E-3</v>
      </c>
    </row>
    <row r="624" spans="4:10">
      <c r="D624">
        <f t="shared" ca="1" si="45"/>
        <v>80.800430059445461</v>
      </c>
      <c r="E624">
        <f t="shared" ca="1" si="46"/>
        <v>1</v>
      </c>
      <c r="F624" s="84">
        <f t="shared" si="47"/>
        <v>31</v>
      </c>
      <c r="G624">
        <v>31</v>
      </c>
      <c r="H624">
        <v>1</v>
      </c>
      <c r="I624">
        <f t="shared" si="48"/>
        <v>1</v>
      </c>
      <c r="J624">
        <f t="shared" si="49"/>
        <v>3.1021E-4</v>
      </c>
    </row>
    <row r="625" spans="4:10">
      <c r="D625">
        <f t="shared" ca="1" si="45"/>
        <v>41.105419932278551</v>
      </c>
      <c r="E625">
        <f t="shared" ca="1" si="46"/>
        <v>1</v>
      </c>
      <c r="F625" s="84">
        <f t="shared" si="47"/>
        <v>70</v>
      </c>
      <c r="G625">
        <v>70</v>
      </c>
      <c r="H625">
        <v>1</v>
      </c>
      <c r="I625">
        <f t="shared" si="48"/>
        <v>1</v>
      </c>
      <c r="J625">
        <f t="shared" si="49"/>
        <v>6.7203999999999996E-3</v>
      </c>
    </row>
    <row r="626" spans="4:10">
      <c r="D626">
        <f t="shared" ca="1" si="45"/>
        <v>51.822329784085639</v>
      </c>
      <c r="E626">
        <f t="shared" ca="1" si="46"/>
        <v>0</v>
      </c>
      <c r="F626" s="84">
        <f t="shared" si="47"/>
        <v>94</v>
      </c>
      <c r="G626">
        <v>94</v>
      </c>
      <c r="H626">
        <v>1</v>
      </c>
      <c r="I626">
        <f t="shared" si="48"/>
        <v>1</v>
      </c>
      <c r="J626">
        <f t="shared" si="49"/>
        <v>0.12147715000000001</v>
      </c>
    </row>
    <row r="627" spans="4:10">
      <c r="D627">
        <f t="shared" ca="1" si="45"/>
        <v>23.544540992668527</v>
      </c>
      <c r="E627">
        <f t="shared" ca="1" si="46"/>
        <v>1</v>
      </c>
      <c r="F627" s="84">
        <f t="shared" si="47"/>
        <v>87</v>
      </c>
      <c r="G627">
        <v>87</v>
      </c>
      <c r="H627">
        <v>1</v>
      </c>
      <c r="I627">
        <f t="shared" si="48"/>
        <v>1</v>
      </c>
      <c r="J627">
        <f t="shared" si="49"/>
        <v>5.6218829999999997E-2</v>
      </c>
    </row>
    <row r="628" spans="4:10">
      <c r="D628">
        <f t="shared" ca="1" si="45"/>
        <v>32.833181136169529</v>
      </c>
      <c r="E628">
        <f t="shared" ca="1" si="46"/>
        <v>1</v>
      </c>
      <c r="F628" s="84">
        <f t="shared" si="47"/>
        <v>26</v>
      </c>
      <c r="G628">
        <v>26</v>
      </c>
      <c r="H628">
        <v>1</v>
      </c>
      <c r="I628">
        <f t="shared" si="48"/>
        <v>1</v>
      </c>
      <c r="J628">
        <f t="shared" si="49"/>
        <v>3.0111E-4</v>
      </c>
    </row>
    <row r="629" spans="4:10">
      <c r="D629">
        <f t="shared" ca="1" si="45"/>
        <v>45.327540869324068</v>
      </c>
      <c r="E629">
        <f t="shared" ca="1" si="46"/>
        <v>1</v>
      </c>
      <c r="F629" s="84">
        <f t="shared" si="47"/>
        <v>28</v>
      </c>
      <c r="G629">
        <v>28</v>
      </c>
      <c r="H629">
        <v>1</v>
      </c>
      <c r="I629">
        <f t="shared" si="48"/>
        <v>1</v>
      </c>
      <c r="J629">
        <f t="shared" si="49"/>
        <v>3.1845000000000002E-4</v>
      </c>
    </row>
    <row r="630" spans="4:10">
      <c r="D630">
        <f t="shared" ca="1" si="45"/>
        <v>49.851512400329575</v>
      </c>
      <c r="E630">
        <f t="shared" ca="1" si="46"/>
        <v>1</v>
      </c>
      <c r="F630" s="84">
        <f t="shared" si="47"/>
        <v>0</v>
      </c>
      <c r="G630">
        <v>0</v>
      </c>
      <c r="H630">
        <v>1</v>
      </c>
      <c r="I630">
        <f t="shared" si="48"/>
        <v>0</v>
      </c>
      <c r="J630">
        <f t="shared" si="49"/>
        <v>1.8345900000000001E-3</v>
      </c>
    </row>
    <row r="631" spans="4:10">
      <c r="D631">
        <f t="shared" ca="1" si="45"/>
        <v>27.920632253135139</v>
      </c>
      <c r="E631">
        <f t="shared" ca="1" si="46"/>
        <v>1</v>
      </c>
      <c r="F631" s="84">
        <f t="shared" si="47"/>
        <v>22</v>
      </c>
      <c r="G631">
        <v>22</v>
      </c>
      <c r="H631">
        <v>0</v>
      </c>
      <c r="I631">
        <f t="shared" si="48"/>
        <v>1</v>
      </c>
      <c r="J631">
        <f t="shared" si="49"/>
        <v>3.0280999999999998E-4</v>
      </c>
    </row>
    <row r="632" spans="4:10">
      <c r="D632">
        <f t="shared" ca="1" si="45"/>
        <v>38.708449043945677</v>
      </c>
      <c r="E632">
        <f t="shared" ca="1" si="46"/>
        <v>1</v>
      </c>
      <c r="F632" s="84">
        <f t="shared" si="47"/>
        <v>45</v>
      </c>
      <c r="G632">
        <v>45</v>
      </c>
      <c r="H632">
        <v>1</v>
      </c>
      <c r="I632">
        <f t="shared" si="48"/>
        <v>1</v>
      </c>
      <c r="J632">
        <f t="shared" si="49"/>
        <v>7.9022999999999995E-4</v>
      </c>
    </row>
    <row r="633" spans="4:10">
      <c r="D633">
        <f t="shared" ca="1" si="45"/>
        <v>19.007209884460785</v>
      </c>
      <c r="E633">
        <f t="shared" ca="1" si="46"/>
        <v>1</v>
      </c>
      <c r="F633" s="84">
        <f t="shared" si="47"/>
        <v>56</v>
      </c>
      <c r="G633">
        <v>56</v>
      </c>
      <c r="H633">
        <v>1</v>
      </c>
      <c r="I633">
        <f t="shared" si="48"/>
        <v>1</v>
      </c>
      <c r="J633">
        <f t="shared" si="49"/>
        <v>2.2598000000000002E-3</v>
      </c>
    </row>
    <row r="634" spans="4:10">
      <c r="D634">
        <f t="shared" ca="1" si="45"/>
        <v>48.429836377988465</v>
      </c>
      <c r="E634">
        <f t="shared" ca="1" si="46"/>
        <v>1</v>
      </c>
      <c r="F634" s="84">
        <f t="shared" si="47"/>
        <v>44</v>
      </c>
      <c r="G634">
        <v>44</v>
      </c>
      <c r="H634">
        <v>1</v>
      </c>
      <c r="I634">
        <f t="shared" si="48"/>
        <v>1</v>
      </c>
      <c r="J634">
        <f t="shared" si="49"/>
        <v>7.2154999999999995E-4</v>
      </c>
    </row>
    <row r="635" spans="4:10">
      <c r="D635">
        <f t="shared" ca="1" si="45"/>
        <v>41.148550914478015</v>
      </c>
      <c r="E635">
        <f t="shared" ca="1" si="46"/>
        <v>1</v>
      </c>
      <c r="F635" s="84">
        <f t="shared" si="47"/>
        <v>96</v>
      </c>
      <c r="G635">
        <v>96</v>
      </c>
      <c r="H635">
        <v>0</v>
      </c>
      <c r="I635">
        <f t="shared" si="48"/>
        <v>1</v>
      </c>
      <c r="J635">
        <f t="shared" si="49"/>
        <v>0.17604463000000001</v>
      </c>
    </row>
    <row r="636" spans="4:10">
      <c r="D636">
        <f t="shared" ca="1" si="45"/>
        <v>33.524783082050789</v>
      </c>
      <c r="E636">
        <f t="shared" ca="1" si="46"/>
        <v>1</v>
      </c>
      <c r="F636" s="84">
        <f t="shared" si="47"/>
        <v>60</v>
      </c>
      <c r="G636">
        <v>60</v>
      </c>
      <c r="H636">
        <v>1</v>
      </c>
      <c r="I636">
        <f t="shared" si="48"/>
        <v>1</v>
      </c>
      <c r="J636">
        <f t="shared" si="49"/>
        <v>3.06333E-3</v>
      </c>
    </row>
    <row r="637" spans="4:10">
      <c r="D637">
        <f t="shared" ca="1" si="45"/>
        <v>66.700011282592456</v>
      </c>
      <c r="E637">
        <f t="shared" ca="1" si="46"/>
        <v>1</v>
      </c>
      <c r="F637" s="84">
        <f t="shared" si="47"/>
        <v>34</v>
      </c>
      <c r="G637">
        <v>34</v>
      </c>
      <c r="H637">
        <v>1</v>
      </c>
      <c r="I637">
        <f t="shared" si="48"/>
        <v>1</v>
      </c>
      <c r="J637">
        <f t="shared" si="49"/>
        <v>3.3452999999999998E-4</v>
      </c>
    </row>
    <row r="638" spans="4:10">
      <c r="D638">
        <f t="shared" ca="1" si="45"/>
        <v>60.276062497342487</v>
      </c>
      <c r="E638">
        <f t="shared" ca="1" si="46"/>
        <v>1</v>
      </c>
      <c r="F638" s="84">
        <f t="shared" si="47"/>
        <v>43</v>
      </c>
      <c r="G638">
        <v>43</v>
      </c>
      <c r="H638">
        <v>0</v>
      </c>
      <c r="I638">
        <f t="shared" si="48"/>
        <v>1</v>
      </c>
      <c r="J638">
        <f t="shared" si="49"/>
        <v>1.4137500000000001E-3</v>
      </c>
    </row>
    <row r="639" spans="4:10">
      <c r="D639">
        <f t="shared" ca="1" si="45"/>
        <v>50.500430736599561</v>
      </c>
      <c r="E639">
        <f t="shared" ca="1" si="46"/>
        <v>1</v>
      </c>
      <c r="F639" s="84">
        <f t="shared" si="47"/>
        <v>2</v>
      </c>
      <c r="G639">
        <v>2</v>
      </c>
      <c r="H639">
        <v>1</v>
      </c>
      <c r="I639">
        <f t="shared" si="48"/>
        <v>0</v>
      </c>
      <c r="J639">
        <f t="shared" si="49"/>
        <v>1.1612000000000001E-4</v>
      </c>
    </row>
    <row r="640" spans="4:10">
      <c r="D640">
        <f t="shared" ca="1" si="45"/>
        <v>67.296374986598238</v>
      </c>
      <c r="E640">
        <f t="shared" ca="1" si="46"/>
        <v>1</v>
      </c>
      <c r="F640" s="84">
        <f t="shared" si="47"/>
        <v>20</v>
      </c>
      <c r="G640">
        <v>20</v>
      </c>
      <c r="H640">
        <v>1</v>
      </c>
      <c r="I640">
        <f t="shared" si="48"/>
        <v>1</v>
      </c>
      <c r="J640">
        <f t="shared" si="49"/>
        <v>1.6644000000000001E-4</v>
      </c>
    </row>
    <row r="641" spans="4:10">
      <c r="D641">
        <f t="shared" ca="1" si="45"/>
        <v>51.318260432497681</v>
      </c>
      <c r="E641">
        <f t="shared" ca="1" si="46"/>
        <v>1</v>
      </c>
      <c r="F641" s="84">
        <f t="shared" si="47"/>
        <v>56</v>
      </c>
      <c r="G641">
        <v>56</v>
      </c>
      <c r="H641">
        <v>1</v>
      </c>
      <c r="I641">
        <f t="shared" si="48"/>
        <v>1</v>
      </c>
      <c r="J641">
        <f t="shared" si="49"/>
        <v>2.2598000000000002E-3</v>
      </c>
    </row>
    <row r="642" spans="4:10">
      <c r="D642">
        <f t="shared" ref="D642:D705" ca="1" si="50">NORMINV(RAND(), mean_age, sd_age)</f>
        <v>46.246981556225172</v>
      </c>
      <c r="E642">
        <f t="shared" ref="E642:E705" ca="1" si="51">_xlfn.BINOM.INV(1, prop_female, RAND())</f>
        <v>1</v>
      </c>
      <c r="F642" s="84">
        <f t="shared" ref="F642:F705" si="52">ROUND(G642,0)</f>
        <v>53</v>
      </c>
      <c r="G642">
        <v>53</v>
      </c>
      <c r="H642">
        <v>1</v>
      </c>
      <c r="I642">
        <f t="shared" ref="I642:I705" si="53">IF(G642&lt;18, 0, 1)</f>
        <v>1</v>
      </c>
      <c r="J642">
        <f t="shared" ref="J642:J705" si="54">IF(H642=0,VLOOKUP(G642,$M$2:$O$102,2,TRUE),VLOOKUP(G642,$M$2:$O$102,3,TRUE))</f>
        <v>1.7577700000000001E-3</v>
      </c>
    </row>
    <row r="643" spans="4:10">
      <c r="D643">
        <f t="shared" ca="1" si="50"/>
        <v>60.80838029315921</v>
      </c>
      <c r="E643">
        <f t="shared" ca="1" si="51"/>
        <v>1</v>
      </c>
      <c r="F643" s="84">
        <f t="shared" si="52"/>
        <v>35</v>
      </c>
      <c r="G643">
        <v>35</v>
      </c>
      <c r="H643">
        <v>1</v>
      </c>
      <c r="I643">
        <f t="shared" si="53"/>
        <v>1</v>
      </c>
      <c r="J643">
        <f t="shared" si="54"/>
        <v>3.5702999999999999E-4</v>
      </c>
    </row>
    <row r="644" spans="4:10">
      <c r="D644">
        <f t="shared" ca="1" si="50"/>
        <v>45.033308255834584</v>
      </c>
      <c r="E644">
        <f t="shared" ca="1" si="51"/>
        <v>1</v>
      </c>
      <c r="F644" s="84">
        <f t="shared" si="52"/>
        <v>23</v>
      </c>
      <c r="G644">
        <v>23</v>
      </c>
      <c r="H644">
        <v>1</v>
      </c>
      <c r="I644">
        <f t="shared" si="53"/>
        <v>1</v>
      </c>
      <c r="J644">
        <f t="shared" si="54"/>
        <v>2.3068000000000001E-4</v>
      </c>
    </row>
    <row r="645" spans="4:10">
      <c r="D645">
        <f t="shared" ca="1" si="50"/>
        <v>47.9146358062697</v>
      </c>
      <c r="E645">
        <f t="shared" ca="1" si="51"/>
        <v>1</v>
      </c>
      <c r="F645" s="84">
        <f t="shared" si="52"/>
        <v>44</v>
      </c>
      <c r="G645">
        <v>44</v>
      </c>
      <c r="H645">
        <v>0</v>
      </c>
      <c r="I645">
        <f t="shared" si="53"/>
        <v>1</v>
      </c>
      <c r="J645">
        <f t="shared" si="54"/>
        <v>1.5861E-3</v>
      </c>
    </row>
    <row r="646" spans="4:10">
      <c r="D646">
        <f t="shared" ca="1" si="50"/>
        <v>63.848834368492817</v>
      </c>
      <c r="E646">
        <f t="shared" ca="1" si="51"/>
        <v>1</v>
      </c>
      <c r="F646" s="84">
        <f t="shared" si="52"/>
        <v>33</v>
      </c>
      <c r="G646">
        <v>33</v>
      </c>
      <c r="H646">
        <v>1</v>
      </c>
      <c r="I646">
        <f t="shared" si="53"/>
        <v>1</v>
      </c>
      <c r="J646">
        <f t="shared" si="54"/>
        <v>3.1915999999999997E-4</v>
      </c>
    </row>
    <row r="647" spans="4:10">
      <c r="D647">
        <f t="shared" ca="1" si="50"/>
        <v>64.76534243001268</v>
      </c>
      <c r="E647">
        <f t="shared" ca="1" si="51"/>
        <v>1</v>
      </c>
      <c r="F647" s="84">
        <f t="shared" si="52"/>
        <v>36</v>
      </c>
      <c r="G647">
        <v>36</v>
      </c>
      <c r="H647">
        <v>1</v>
      </c>
      <c r="I647">
        <f t="shared" si="53"/>
        <v>1</v>
      </c>
      <c r="J647">
        <f t="shared" si="54"/>
        <v>3.8510999999999998E-4</v>
      </c>
    </row>
    <row r="648" spans="4:10">
      <c r="D648">
        <f t="shared" ca="1" si="50"/>
        <v>16.337410828904932</v>
      </c>
      <c r="E648">
        <f t="shared" ca="1" si="51"/>
        <v>0</v>
      </c>
      <c r="F648" s="84">
        <f t="shared" si="52"/>
        <v>49</v>
      </c>
      <c r="G648">
        <v>49</v>
      </c>
      <c r="H648">
        <v>1</v>
      </c>
      <c r="I648">
        <f t="shared" si="53"/>
        <v>1</v>
      </c>
      <c r="J648">
        <f t="shared" si="54"/>
        <v>1.1877400000000001E-3</v>
      </c>
    </row>
    <row r="649" spans="4:10">
      <c r="D649">
        <f t="shared" ca="1" si="50"/>
        <v>62.256429626648838</v>
      </c>
      <c r="E649">
        <f t="shared" ca="1" si="51"/>
        <v>1</v>
      </c>
      <c r="F649" s="84">
        <f t="shared" si="52"/>
        <v>66</v>
      </c>
      <c r="G649">
        <v>66</v>
      </c>
      <c r="H649">
        <v>1</v>
      </c>
      <c r="I649">
        <f t="shared" si="53"/>
        <v>1</v>
      </c>
      <c r="J649">
        <f t="shared" si="54"/>
        <v>4.7119800000000002E-3</v>
      </c>
    </row>
    <row r="650" spans="4:10">
      <c r="D650">
        <f t="shared" ca="1" si="50"/>
        <v>43.972314341747449</v>
      </c>
      <c r="E650">
        <f t="shared" ca="1" si="51"/>
        <v>0</v>
      </c>
      <c r="F650" s="84">
        <f t="shared" si="52"/>
        <v>63</v>
      </c>
      <c r="G650">
        <v>63</v>
      </c>
      <c r="H650">
        <v>1</v>
      </c>
      <c r="I650">
        <f t="shared" si="53"/>
        <v>1</v>
      </c>
      <c r="J650">
        <f t="shared" si="54"/>
        <v>3.7797199999999999E-3</v>
      </c>
    </row>
    <row r="651" spans="4:10">
      <c r="D651">
        <f t="shared" ca="1" si="50"/>
        <v>41.323334117459275</v>
      </c>
      <c r="E651">
        <f t="shared" ca="1" si="51"/>
        <v>1</v>
      </c>
      <c r="F651" s="84">
        <f t="shared" si="52"/>
        <v>14</v>
      </c>
      <c r="G651">
        <v>14</v>
      </c>
      <c r="H651">
        <v>1</v>
      </c>
      <c r="I651">
        <f t="shared" si="53"/>
        <v>0</v>
      </c>
      <c r="J651">
        <f t="shared" si="54"/>
        <v>1.3108999999999999E-4</v>
      </c>
    </row>
    <row r="652" spans="4:10">
      <c r="D652">
        <f t="shared" ca="1" si="50"/>
        <v>47.842667428804184</v>
      </c>
      <c r="E652">
        <f t="shared" ca="1" si="51"/>
        <v>1</v>
      </c>
      <c r="F652" s="84">
        <f t="shared" si="52"/>
        <v>55</v>
      </c>
      <c r="G652">
        <v>55</v>
      </c>
      <c r="H652">
        <v>0</v>
      </c>
      <c r="I652">
        <f t="shared" si="53"/>
        <v>1</v>
      </c>
      <c r="J652">
        <f t="shared" si="54"/>
        <v>4.1453499999999999E-3</v>
      </c>
    </row>
    <row r="653" spans="4:10">
      <c r="D653">
        <f t="shared" ca="1" si="50"/>
        <v>42.220100303892757</v>
      </c>
      <c r="E653">
        <f t="shared" ca="1" si="51"/>
        <v>0</v>
      </c>
      <c r="F653" s="84">
        <f t="shared" si="52"/>
        <v>25</v>
      </c>
      <c r="G653">
        <v>25</v>
      </c>
      <c r="H653">
        <v>1</v>
      </c>
      <c r="I653">
        <f t="shared" si="53"/>
        <v>1</v>
      </c>
      <c r="J653">
        <f t="shared" si="54"/>
        <v>2.8196999999999999E-4</v>
      </c>
    </row>
    <row r="654" spans="4:10">
      <c r="D654">
        <f t="shared" ca="1" si="50"/>
        <v>51.260018333683107</v>
      </c>
      <c r="E654">
        <f t="shared" ca="1" si="51"/>
        <v>1</v>
      </c>
      <c r="F654" s="84">
        <f t="shared" si="52"/>
        <v>46</v>
      </c>
      <c r="G654">
        <v>46</v>
      </c>
      <c r="H654">
        <v>0</v>
      </c>
      <c r="I654">
        <f t="shared" si="53"/>
        <v>1</v>
      </c>
      <c r="J654">
        <f t="shared" si="54"/>
        <v>1.9912900000000002E-3</v>
      </c>
    </row>
    <row r="655" spans="4:10">
      <c r="D655">
        <f t="shared" ca="1" si="50"/>
        <v>14.274877774413092</v>
      </c>
      <c r="E655">
        <f t="shared" ca="1" si="51"/>
        <v>0</v>
      </c>
      <c r="F655" s="84">
        <f t="shared" si="52"/>
        <v>61</v>
      </c>
      <c r="G655">
        <v>61</v>
      </c>
      <c r="H655">
        <v>1</v>
      </c>
      <c r="I655">
        <f t="shared" si="53"/>
        <v>1</v>
      </c>
      <c r="J655">
        <f t="shared" si="54"/>
        <v>3.2876200000000002E-3</v>
      </c>
    </row>
    <row r="656" spans="4:10">
      <c r="D656">
        <f t="shared" ca="1" si="50"/>
        <v>37.613693441478915</v>
      </c>
      <c r="E656">
        <f t="shared" ca="1" si="51"/>
        <v>0</v>
      </c>
      <c r="F656" s="84">
        <f t="shared" si="52"/>
        <v>30</v>
      </c>
      <c r="G656">
        <v>30</v>
      </c>
      <c r="H656">
        <v>1</v>
      </c>
      <c r="I656">
        <f t="shared" si="53"/>
        <v>1</v>
      </c>
      <c r="J656">
        <f t="shared" si="54"/>
        <v>3.1370999999999998E-4</v>
      </c>
    </row>
    <row r="657" spans="4:10">
      <c r="D657">
        <f t="shared" ca="1" si="50"/>
        <v>23.034779639070031</v>
      </c>
      <c r="E657">
        <f t="shared" ca="1" si="51"/>
        <v>1</v>
      </c>
      <c r="F657" s="84">
        <f t="shared" si="52"/>
        <v>52</v>
      </c>
      <c r="G657">
        <v>52</v>
      </c>
      <c r="H657">
        <v>0</v>
      </c>
      <c r="I657">
        <f t="shared" si="53"/>
        <v>1</v>
      </c>
      <c r="J657">
        <f t="shared" si="54"/>
        <v>3.3874700000000001E-3</v>
      </c>
    </row>
    <row r="658" spans="4:10">
      <c r="D658">
        <f t="shared" ca="1" si="50"/>
        <v>62.714581521806785</v>
      </c>
      <c r="E658">
        <f t="shared" ca="1" si="51"/>
        <v>1</v>
      </c>
      <c r="F658" s="84">
        <f t="shared" si="52"/>
        <v>37</v>
      </c>
      <c r="G658">
        <v>37</v>
      </c>
      <c r="H658">
        <v>1</v>
      </c>
      <c r="I658">
        <f t="shared" si="53"/>
        <v>1</v>
      </c>
      <c r="J658">
        <f t="shared" si="54"/>
        <v>4.1611000000000003E-4</v>
      </c>
    </row>
    <row r="659" spans="4:10">
      <c r="D659">
        <f t="shared" ca="1" si="50"/>
        <v>72.574371647595797</v>
      </c>
      <c r="E659">
        <f t="shared" ca="1" si="51"/>
        <v>1</v>
      </c>
      <c r="F659" s="84">
        <f t="shared" si="52"/>
        <v>66</v>
      </c>
      <c r="G659">
        <v>66</v>
      </c>
      <c r="H659">
        <v>1</v>
      </c>
      <c r="I659">
        <f t="shared" si="53"/>
        <v>1</v>
      </c>
      <c r="J659">
        <f t="shared" si="54"/>
        <v>4.7119800000000002E-3</v>
      </c>
    </row>
    <row r="660" spans="4:10">
      <c r="D660">
        <f t="shared" ca="1" si="50"/>
        <v>54.326230097284956</v>
      </c>
      <c r="E660">
        <f t="shared" ca="1" si="51"/>
        <v>1</v>
      </c>
      <c r="F660" s="84">
        <f t="shared" si="52"/>
        <v>68</v>
      </c>
      <c r="G660">
        <v>68</v>
      </c>
      <c r="H660">
        <v>1</v>
      </c>
      <c r="I660">
        <f t="shared" si="53"/>
        <v>1</v>
      </c>
      <c r="J660">
        <f t="shared" si="54"/>
        <v>5.5425099999999996E-3</v>
      </c>
    </row>
    <row r="661" spans="4:10">
      <c r="D661">
        <f t="shared" ca="1" si="50"/>
        <v>17.359825048541666</v>
      </c>
      <c r="E661">
        <f t="shared" ca="1" si="51"/>
        <v>0</v>
      </c>
      <c r="F661" s="84">
        <f t="shared" si="52"/>
        <v>51</v>
      </c>
      <c r="G661">
        <v>51</v>
      </c>
      <c r="H661">
        <v>1</v>
      </c>
      <c r="I661">
        <f t="shared" si="53"/>
        <v>1</v>
      </c>
      <c r="J661">
        <f t="shared" si="54"/>
        <v>1.4570900000000001E-3</v>
      </c>
    </row>
    <row r="662" spans="4:10">
      <c r="D662">
        <f t="shared" ca="1" si="50"/>
        <v>15.474414384080525</v>
      </c>
      <c r="E662">
        <f t="shared" ca="1" si="51"/>
        <v>1</v>
      </c>
      <c r="F662" s="84">
        <f t="shared" si="52"/>
        <v>59</v>
      </c>
      <c r="G662">
        <v>59</v>
      </c>
      <c r="H662">
        <v>1</v>
      </c>
      <c r="I662">
        <f t="shared" si="53"/>
        <v>1</v>
      </c>
      <c r="J662">
        <f t="shared" si="54"/>
        <v>2.84666E-3</v>
      </c>
    </row>
    <row r="663" spans="4:10">
      <c r="D663">
        <f t="shared" ca="1" si="50"/>
        <v>85.825139528540703</v>
      </c>
      <c r="E663">
        <f t="shared" ca="1" si="51"/>
        <v>1</v>
      </c>
      <c r="F663" s="84">
        <f t="shared" si="52"/>
        <v>49</v>
      </c>
      <c r="G663">
        <v>49</v>
      </c>
      <c r="H663">
        <v>0</v>
      </c>
      <c r="I663">
        <f t="shared" si="53"/>
        <v>1</v>
      </c>
      <c r="J663">
        <f t="shared" si="54"/>
        <v>2.6868700000000001E-3</v>
      </c>
    </row>
    <row r="664" spans="4:10">
      <c r="D664">
        <f t="shared" ca="1" si="50"/>
        <v>55.653147850713665</v>
      </c>
      <c r="E664">
        <f t="shared" ca="1" si="51"/>
        <v>0</v>
      </c>
      <c r="F664" s="84">
        <f t="shared" si="52"/>
        <v>63</v>
      </c>
      <c r="G664">
        <v>63</v>
      </c>
      <c r="H664">
        <v>1</v>
      </c>
      <c r="I664">
        <f t="shared" si="53"/>
        <v>1</v>
      </c>
      <c r="J664">
        <f t="shared" si="54"/>
        <v>3.7797199999999999E-3</v>
      </c>
    </row>
    <row r="665" spans="4:10">
      <c r="D665">
        <f t="shared" ca="1" si="50"/>
        <v>37.390431341238973</v>
      </c>
      <c r="E665">
        <f t="shared" ca="1" si="51"/>
        <v>0</v>
      </c>
      <c r="F665" s="84">
        <f t="shared" si="52"/>
        <v>35</v>
      </c>
      <c r="G665">
        <v>35</v>
      </c>
      <c r="H665">
        <v>1</v>
      </c>
      <c r="I665">
        <f t="shared" si="53"/>
        <v>1</v>
      </c>
      <c r="J665">
        <f t="shared" si="54"/>
        <v>3.5702999999999999E-4</v>
      </c>
    </row>
    <row r="666" spans="4:10">
      <c r="D666">
        <f t="shared" ca="1" si="50"/>
        <v>46.153367180038821</v>
      </c>
      <c r="E666">
        <f t="shared" ca="1" si="51"/>
        <v>1</v>
      </c>
      <c r="F666" s="84">
        <f t="shared" si="52"/>
        <v>52</v>
      </c>
      <c r="G666">
        <v>52</v>
      </c>
      <c r="H666">
        <v>1</v>
      </c>
      <c r="I666">
        <f t="shared" si="53"/>
        <v>1</v>
      </c>
      <c r="J666">
        <f t="shared" si="54"/>
        <v>1.60396E-3</v>
      </c>
    </row>
    <row r="667" spans="4:10">
      <c r="D667">
        <f t="shared" ca="1" si="50"/>
        <v>20.506473684465451</v>
      </c>
      <c r="E667">
        <f t="shared" ca="1" si="51"/>
        <v>0</v>
      </c>
      <c r="F667" s="84">
        <f t="shared" si="52"/>
        <v>8</v>
      </c>
      <c r="G667">
        <v>8</v>
      </c>
      <c r="H667">
        <v>0</v>
      </c>
      <c r="I667">
        <f t="shared" si="53"/>
        <v>0</v>
      </c>
      <c r="J667">
        <f t="shared" si="54"/>
        <v>7.5339999999999994E-5</v>
      </c>
    </row>
    <row r="668" spans="4:10">
      <c r="D668">
        <f t="shared" ca="1" si="50"/>
        <v>67.12381237473042</v>
      </c>
      <c r="E668">
        <f t="shared" ca="1" si="51"/>
        <v>1</v>
      </c>
      <c r="F668" s="84">
        <f t="shared" si="52"/>
        <v>75</v>
      </c>
      <c r="G668">
        <v>75</v>
      </c>
      <c r="H668">
        <v>1</v>
      </c>
      <c r="I668">
        <f t="shared" si="53"/>
        <v>1</v>
      </c>
      <c r="J668">
        <f t="shared" si="54"/>
        <v>1.2187669999999999E-2</v>
      </c>
    </row>
    <row r="669" spans="4:10">
      <c r="D669">
        <f t="shared" ca="1" si="50"/>
        <v>33.927809040990454</v>
      </c>
      <c r="E669">
        <f t="shared" ca="1" si="51"/>
        <v>0</v>
      </c>
      <c r="F669" s="84">
        <f t="shared" si="52"/>
        <v>48</v>
      </c>
      <c r="G669">
        <v>48</v>
      </c>
      <c r="H669">
        <v>1</v>
      </c>
      <c r="I669">
        <f t="shared" si="53"/>
        <v>1</v>
      </c>
      <c r="J669">
        <f t="shared" si="54"/>
        <v>1.0691400000000001E-3</v>
      </c>
    </row>
    <row r="670" spans="4:10">
      <c r="D670">
        <f t="shared" ca="1" si="50"/>
        <v>31.428718332929705</v>
      </c>
      <c r="E670">
        <f t="shared" ca="1" si="51"/>
        <v>0</v>
      </c>
      <c r="F670" s="84">
        <f t="shared" si="52"/>
        <v>67</v>
      </c>
      <c r="G670">
        <v>67</v>
      </c>
      <c r="H670">
        <v>1</v>
      </c>
      <c r="I670">
        <f t="shared" si="53"/>
        <v>1</v>
      </c>
      <c r="J670">
        <f t="shared" si="54"/>
        <v>5.09392E-3</v>
      </c>
    </row>
    <row r="671" spans="4:10">
      <c r="D671">
        <f t="shared" ca="1" si="50"/>
        <v>46.888695111655075</v>
      </c>
      <c r="E671">
        <f t="shared" ca="1" si="51"/>
        <v>1</v>
      </c>
      <c r="F671" s="84">
        <f t="shared" si="52"/>
        <v>61</v>
      </c>
      <c r="G671">
        <v>61</v>
      </c>
      <c r="H671">
        <v>1</v>
      </c>
      <c r="I671">
        <f t="shared" si="53"/>
        <v>1</v>
      </c>
      <c r="J671">
        <f t="shared" si="54"/>
        <v>3.2876200000000002E-3</v>
      </c>
    </row>
    <row r="672" spans="4:10">
      <c r="D672">
        <f t="shared" ca="1" si="50"/>
        <v>32.513453808627823</v>
      </c>
      <c r="E672">
        <f t="shared" ca="1" si="51"/>
        <v>1</v>
      </c>
      <c r="F672" s="84">
        <f t="shared" si="52"/>
        <v>63</v>
      </c>
      <c r="G672">
        <v>63</v>
      </c>
      <c r="H672">
        <v>1</v>
      </c>
      <c r="I672">
        <f t="shared" si="53"/>
        <v>1</v>
      </c>
      <c r="J672">
        <f t="shared" si="54"/>
        <v>3.7797199999999999E-3</v>
      </c>
    </row>
    <row r="673" spans="4:10">
      <c r="D673">
        <f t="shared" ca="1" si="50"/>
        <v>42.814982673098335</v>
      </c>
      <c r="E673">
        <f t="shared" ca="1" si="51"/>
        <v>1</v>
      </c>
      <c r="F673" s="84">
        <f t="shared" si="52"/>
        <v>52</v>
      </c>
      <c r="G673">
        <v>52</v>
      </c>
      <c r="H673">
        <v>1</v>
      </c>
      <c r="I673">
        <f t="shared" si="53"/>
        <v>1</v>
      </c>
      <c r="J673">
        <f t="shared" si="54"/>
        <v>1.60396E-3</v>
      </c>
    </row>
    <row r="674" spans="4:10">
      <c r="D674">
        <f t="shared" ca="1" si="50"/>
        <v>18.745022970086929</v>
      </c>
      <c r="E674">
        <f t="shared" ca="1" si="51"/>
        <v>0</v>
      </c>
      <c r="F674" s="84">
        <f t="shared" si="52"/>
        <v>76</v>
      </c>
      <c r="G674">
        <v>76</v>
      </c>
      <c r="H674">
        <v>0</v>
      </c>
      <c r="I674">
        <f t="shared" si="53"/>
        <v>1</v>
      </c>
      <c r="J674">
        <f t="shared" si="54"/>
        <v>2.802317E-2</v>
      </c>
    </row>
    <row r="675" spans="4:10">
      <c r="D675">
        <f t="shared" ca="1" si="50"/>
        <v>61.096284692975949</v>
      </c>
      <c r="E675">
        <f t="shared" ca="1" si="51"/>
        <v>0</v>
      </c>
      <c r="F675" s="84">
        <f t="shared" si="52"/>
        <v>61</v>
      </c>
      <c r="G675">
        <v>61</v>
      </c>
      <c r="H675">
        <v>1</v>
      </c>
      <c r="I675">
        <f t="shared" si="53"/>
        <v>1</v>
      </c>
      <c r="J675">
        <f t="shared" si="54"/>
        <v>3.2876200000000002E-3</v>
      </c>
    </row>
    <row r="676" spans="4:10">
      <c r="D676">
        <f t="shared" ca="1" si="50"/>
        <v>36.258867752552462</v>
      </c>
      <c r="E676">
        <f t="shared" ca="1" si="51"/>
        <v>1</v>
      </c>
      <c r="F676" s="84">
        <f t="shared" si="52"/>
        <v>50</v>
      </c>
      <c r="G676">
        <v>50</v>
      </c>
      <c r="H676">
        <v>1</v>
      </c>
      <c r="I676">
        <f t="shared" si="53"/>
        <v>1</v>
      </c>
      <c r="J676">
        <f t="shared" si="54"/>
        <v>1.31766E-3</v>
      </c>
    </row>
    <row r="677" spans="4:10">
      <c r="D677">
        <f t="shared" ca="1" si="50"/>
        <v>65.155943037244228</v>
      </c>
      <c r="E677">
        <f t="shared" ca="1" si="51"/>
        <v>0</v>
      </c>
      <c r="F677" s="84">
        <f t="shared" si="52"/>
        <v>44</v>
      </c>
      <c r="G677">
        <v>44</v>
      </c>
      <c r="H677">
        <v>0</v>
      </c>
      <c r="I677">
        <f t="shared" si="53"/>
        <v>1</v>
      </c>
      <c r="J677">
        <f t="shared" si="54"/>
        <v>1.5861E-3</v>
      </c>
    </row>
    <row r="678" spans="4:10">
      <c r="D678">
        <f t="shared" ca="1" si="50"/>
        <v>79.173943128208521</v>
      </c>
      <c r="E678">
        <f t="shared" ca="1" si="51"/>
        <v>1</v>
      </c>
      <c r="F678" s="84">
        <f t="shared" si="52"/>
        <v>46</v>
      </c>
      <c r="G678">
        <v>46</v>
      </c>
      <c r="H678">
        <v>1</v>
      </c>
      <c r="I678">
        <f t="shared" si="53"/>
        <v>1</v>
      </c>
      <c r="J678">
        <f t="shared" si="54"/>
        <v>8.7060000000000002E-4</v>
      </c>
    </row>
    <row r="679" spans="4:10">
      <c r="D679">
        <f t="shared" ca="1" si="50"/>
        <v>52.205321004782562</v>
      </c>
      <c r="E679">
        <f t="shared" ca="1" si="51"/>
        <v>1</v>
      </c>
      <c r="F679" s="84">
        <f t="shared" si="52"/>
        <v>31</v>
      </c>
      <c r="G679">
        <v>31</v>
      </c>
      <c r="H679">
        <v>1</v>
      </c>
      <c r="I679">
        <f t="shared" si="53"/>
        <v>1</v>
      </c>
      <c r="J679">
        <f t="shared" si="54"/>
        <v>3.1021E-4</v>
      </c>
    </row>
    <row r="680" spans="4:10">
      <c r="D680">
        <f t="shared" ca="1" si="50"/>
        <v>66.277030220042562</v>
      </c>
      <c r="E680">
        <f t="shared" ca="1" si="51"/>
        <v>1</v>
      </c>
      <c r="F680" s="84">
        <f t="shared" si="52"/>
        <v>11</v>
      </c>
      <c r="G680">
        <v>11</v>
      </c>
      <c r="H680">
        <v>1</v>
      </c>
      <c r="I680">
        <f t="shared" si="53"/>
        <v>0</v>
      </c>
      <c r="J680">
        <f t="shared" si="54"/>
        <v>1.1621E-4</v>
      </c>
    </row>
    <row r="681" spans="4:10">
      <c r="D681">
        <f t="shared" ca="1" si="50"/>
        <v>35.609073672287366</v>
      </c>
      <c r="E681">
        <f t="shared" ca="1" si="51"/>
        <v>0</v>
      </c>
      <c r="F681" s="84">
        <f t="shared" si="52"/>
        <v>38</v>
      </c>
      <c r="G681">
        <v>38</v>
      </c>
      <c r="H681">
        <v>1</v>
      </c>
      <c r="I681">
        <f t="shared" si="53"/>
        <v>1</v>
      </c>
      <c r="J681">
        <f t="shared" si="54"/>
        <v>4.4977E-4</v>
      </c>
    </row>
    <row r="682" spans="4:10">
      <c r="D682">
        <f t="shared" ca="1" si="50"/>
        <v>27.619004825587279</v>
      </c>
      <c r="E682">
        <f t="shared" ca="1" si="51"/>
        <v>0</v>
      </c>
      <c r="F682" s="84">
        <f t="shared" si="52"/>
        <v>62</v>
      </c>
      <c r="G682">
        <v>62</v>
      </c>
      <c r="H682">
        <v>1</v>
      </c>
      <c r="I682">
        <f t="shared" si="53"/>
        <v>1</v>
      </c>
      <c r="J682">
        <f t="shared" si="54"/>
        <v>3.5238499999999998E-3</v>
      </c>
    </row>
    <row r="683" spans="4:10">
      <c r="D683">
        <f t="shared" ca="1" si="50"/>
        <v>49.781772057626675</v>
      </c>
      <c r="E683">
        <f t="shared" ca="1" si="51"/>
        <v>1</v>
      </c>
      <c r="F683" s="84">
        <f t="shared" si="52"/>
        <v>17</v>
      </c>
      <c r="G683">
        <v>17</v>
      </c>
      <c r="H683">
        <v>1</v>
      </c>
      <c r="I683">
        <f t="shared" si="53"/>
        <v>0</v>
      </c>
      <c r="J683">
        <f t="shared" si="54"/>
        <v>1.406E-4</v>
      </c>
    </row>
    <row r="684" spans="4:10">
      <c r="D684">
        <f t="shared" ca="1" si="50"/>
        <v>51.217095013649086</v>
      </c>
      <c r="E684">
        <f t="shared" ca="1" si="51"/>
        <v>1</v>
      </c>
      <c r="F684" s="84">
        <f t="shared" si="52"/>
        <v>45</v>
      </c>
      <c r="G684">
        <v>45</v>
      </c>
      <c r="H684">
        <v>1</v>
      </c>
      <c r="I684">
        <f t="shared" si="53"/>
        <v>1</v>
      </c>
      <c r="J684">
        <f t="shared" si="54"/>
        <v>7.9022999999999995E-4</v>
      </c>
    </row>
    <row r="685" spans="4:10">
      <c r="D685">
        <f t="shared" ca="1" si="50"/>
        <v>40.395985442610197</v>
      </c>
      <c r="E685">
        <f t="shared" ca="1" si="51"/>
        <v>1</v>
      </c>
      <c r="F685" s="84">
        <f t="shared" si="52"/>
        <v>36</v>
      </c>
      <c r="G685">
        <v>36</v>
      </c>
      <c r="H685">
        <v>1</v>
      </c>
      <c r="I685">
        <f t="shared" si="53"/>
        <v>1</v>
      </c>
      <c r="J685">
        <f t="shared" si="54"/>
        <v>3.8510999999999998E-4</v>
      </c>
    </row>
    <row r="686" spans="4:10">
      <c r="D686">
        <f t="shared" ca="1" si="50"/>
        <v>48.76611747948364</v>
      </c>
      <c r="E686">
        <f t="shared" ca="1" si="51"/>
        <v>1</v>
      </c>
      <c r="F686" s="84">
        <f t="shared" si="52"/>
        <v>43</v>
      </c>
      <c r="G686">
        <v>43</v>
      </c>
      <c r="H686">
        <v>1</v>
      </c>
      <c r="I686">
        <f t="shared" si="53"/>
        <v>1</v>
      </c>
      <c r="J686">
        <f t="shared" si="54"/>
        <v>6.6288000000000002E-4</v>
      </c>
    </row>
    <row r="687" spans="4:10">
      <c r="D687">
        <f t="shared" ca="1" si="50"/>
        <v>29.273702197859421</v>
      </c>
      <c r="E687">
        <f t="shared" ca="1" si="51"/>
        <v>1</v>
      </c>
      <c r="F687" s="84">
        <f t="shared" si="52"/>
        <v>47</v>
      </c>
      <c r="G687">
        <v>47</v>
      </c>
      <c r="H687">
        <v>1</v>
      </c>
      <c r="I687">
        <f t="shared" si="53"/>
        <v>1</v>
      </c>
      <c r="J687">
        <f t="shared" si="54"/>
        <v>9.6336999999999996E-4</v>
      </c>
    </row>
    <row r="688" spans="4:10">
      <c r="D688">
        <f t="shared" ca="1" si="50"/>
        <v>59.700404799866092</v>
      </c>
      <c r="E688">
        <f t="shared" ca="1" si="51"/>
        <v>1</v>
      </c>
      <c r="F688" s="84">
        <f t="shared" si="52"/>
        <v>68</v>
      </c>
      <c r="G688">
        <v>68</v>
      </c>
      <c r="H688">
        <v>1</v>
      </c>
      <c r="I688">
        <f t="shared" si="53"/>
        <v>1</v>
      </c>
      <c r="J688">
        <f t="shared" si="54"/>
        <v>5.5425099999999996E-3</v>
      </c>
    </row>
    <row r="689" spans="4:10">
      <c r="D689">
        <f t="shared" ca="1" si="50"/>
        <v>58.044509762114828</v>
      </c>
      <c r="E689">
        <f t="shared" ca="1" si="51"/>
        <v>1</v>
      </c>
      <c r="F689" s="84">
        <f t="shared" si="52"/>
        <v>35</v>
      </c>
      <c r="G689">
        <v>35</v>
      </c>
      <c r="H689">
        <v>1</v>
      </c>
      <c r="I689">
        <f t="shared" si="53"/>
        <v>1</v>
      </c>
      <c r="J689">
        <f t="shared" si="54"/>
        <v>3.5702999999999999E-4</v>
      </c>
    </row>
    <row r="690" spans="4:10">
      <c r="D690">
        <f t="shared" ca="1" si="50"/>
        <v>57.645092130272687</v>
      </c>
      <c r="E690">
        <f t="shared" ca="1" si="51"/>
        <v>1</v>
      </c>
      <c r="F690" s="84">
        <f t="shared" si="52"/>
        <v>31</v>
      </c>
      <c r="G690">
        <v>31</v>
      </c>
      <c r="H690">
        <v>0</v>
      </c>
      <c r="I690">
        <f t="shared" si="53"/>
        <v>1</v>
      </c>
      <c r="J690">
        <f t="shared" si="54"/>
        <v>5.9367000000000003E-4</v>
      </c>
    </row>
    <row r="691" spans="4:10">
      <c r="D691">
        <f t="shared" ca="1" si="50"/>
        <v>50.837572904701815</v>
      </c>
      <c r="E691">
        <f t="shared" ca="1" si="51"/>
        <v>0</v>
      </c>
      <c r="F691" s="84">
        <f t="shared" si="52"/>
        <v>66</v>
      </c>
      <c r="G691">
        <v>66</v>
      </c>
      <c r="H691">
        <v>1</v>
      </c>
      <c r="I691">
        <f t="shared" si="53"/>
        <v>1</v>
      </c>
      <c r="J691">
        <f t="shared" si="54"/>
        <v>4.7119800000000002E-3</v>
      </c>
    </row>
    <row r="692" spans="4:10">
      <c r="D692">
        <f t="shared" ca="1" si="50"/>
        <v>25.690272636742488</v>
      </c>
      <c r="E692">
        <f t="shared" ca="1" si="51"/>
        <v>0</v>
      </c>
      <c r="F692" s="84">
        <f t="shared" si="52"/>
        <v>33</v>
      </c>
      <c r="G692">
        <v>33</v>
      </c>
      <c r="H692">
        <v>1</v>
      </c>
      <c r="I692">
        <f t="shared" si="53"/>
        <v>1</v>
      </c>
      <c r="J692">
        <f t="shared" si="54"/>
        <v>3.1915999999999997E-4</v>
      </c>
    </row>
    <row r="693" spans="4:10">
      <c r="D693">
        <f t="shared" ca="1" si="50"/>
        <v>23.249506517039531</v>
      </c>
      <c r="E693">
        <f t="shared" ca="1" si="51"/>
        <v>0</v>
      </c>
      <c r="F693" s="84">
        <f t="shared" si="52"/>
        <v>62</v>
      </c>
      <c r="G693">
        <v>62</v>
      </c>
      <c r="H693">
        <v>0</v>
      </c>
      <c r="I693">
        <f t="shared" si="53"/>
        <v>1</v>
      </c>
      <c r="J693">
        <f t="shared" si="54"/>
        <v>7.3471500000000002E-3</v>
      </c>
    </row>
    <row r="694" spans="4:10">
      <c r="D694">
        <f t="shared" ca="1" si="50"/>
        <v>47.741064533848174</v>
      </c>
      <c r="E694">
        <f t="shared" ca="1" si="51"/>
        <v>1</v>
      </c>
      <c r="F694" s="84">
        <f t="shared" si="52"/>
        <v>44</v>
      </c>
      <c r="G694">
        <v>44</v>
      </c>
      <c r="H694">
        <v>1</v>
      </c>
      <c r="I694">
        <f t="shared" si="53"/>
        <v>1</v>
      </c>
      <c r="J694">
        <f t="shared" si="54"/>
        <v>7.2154999999999995E-4</v>
      </c>
    </row>
    <row r="695" spans="4:10">
      <c r="D695">
        <f t="shared" ca="1" si="50"/>
        <v>41.096773840550114</v>
      </c>
      <c r="E695">
        <f t="shared" ca="1" si="51"/>
        <v>1</v>
      </c>
      <c r="F695" s="84">
        <f t="shared" si="52"/>
        <v>62</v>
      </c>
      <c r="G695">
        <v>62</v>
      </c>
      <c r="H695">
        <v>1</v>
      </c>
      <c r="I695">
        <f t="shared" si="53"/>
        <v>1</v>
      </c>
      <c r="J695">
        <f t="shared" si="54"/>
        <v>3.5238499999999998E-3</v>
      </c>
    </row>
    <row r="696" spans="4:10">
      <c r="D696">
        <f t="shared" ca="1" si="50"/>
        <v>36.639029509882107</v>
      </c>
      <c r="E696">
        <f t="shared" ca="1" si="51"/>
        <v>1</v>
      </c>
      <c r="F696" s="84">
        <f t="shared" si="52"/>
        <v>43</v>
      </c>
      <c r="G696">
        <v>43</v>
      </c>
      <c r="H696">
        <v>1</v>
      </c>
      <c r="I696">
        <f t="shared" si="53"/>
        <v>1</v>
      </c>
      <c r="J696">
        <f t="shared" si="54"/>
        <v>6.6288000000000002E-4</v>
      </c>
    </row>
    <row r="697" spans="4:10">
      <c r="D697">
        <f t="shared" ca="1" si="50"/>
        <v>49.917452919776785</v>
      </c>
      <c r="E697">
        <f t="shared" ca="1" si="51"/>
        <v>1</v>
      </c>
      <c r="F697" s="84">
        <f t="shared" si="52"/>
        <v>22</v>
      </c>
      <c r="G697">
        <v>22</v>
      </c>
      <c r="H697">
        <v>1</v>
      </c>
      <c r="I697">
        <f t="shared" si="53"/>
        <v>1</v>
      </c>
      <c r="J697">
        <f t="shared" si="54"/>
        <v>2.0557E-4</v>
      </c>
    </row>
    <row r="698" spans="4:10">
      <c r="D698">
        <f t="shared" ca="1" si="50"/>
        <v>47.404465217222686</v>
      </c>
      <c r="E698">
        <f t="shared" ca="1" si="51"/>
        <v>0</v>
      </c>
      <c r="F698" s="84">
        <f t="shared" si="52"/>
        <v>37</v>
      </c>
      <c r="G698">
        <v>37</v>
      </c>
      <c r="H698">
        <v>1</v>
      </c>
      <c r="I698">
        <f t="shared" si="53"/>
        <v>1</v>
      </c>
      <c r="J698">
        <f t="shared" si="54"/>
        <v>4.1611000000000003E-4</v>
      </c>
    </row>
    <row r="699" spans="4:10">
      <c r="D699">
        <f t="shared" ca="1" si="50"/>
        <v>54.654112507625449</v>
      </c>
      <c r="E699">
        <f t="shared" ca="1" si="51"/>
        <v>1</v>
      </c>
      <c r="F699" s="84">
        <f t="shared" si="52"/>
        <v>58</v>
      </c>
      <c r="G699">
        <v>58</v>
      </c>
      <c r="H699">
        <v>1</v>
      </c>
      <c r="I699">
        <f t="shared" si="53"/>
        <v>1</v>
      </c>
      <c r="J699">
        <f t="shared" si="54"/>
        <v>2.63817E-3</v>
      </c>
    </row>
    <row r="700" spans="4:10">
      <c r="D700">
        <f t="shared" ca="1" si="50"/>
        <v>45.729536570535615</v>
      </c>
      <c r="E700">
        <f t="shared" ca="1" si="51"/>
        <v>0</v>
      </c>
      <c r="F700" s="84">
        <f t="shared" si="52"/>
        <v>49</v>
      </c>
      <c r="G700">
        <v>49</v>
      </c>
      <c r="H700">
        <v>0</v>
      </c>
      <c r="I700">
        <f t="shared" si="53"/>
        <v>1</v>
      </c>
      <c r="J700">
        <f t="shared" si="54"/>
        <v>2.6868700000000001E-3</v>
      </c>
    </row>
    <row r="701" spans="4:10">
      <c r="D701">
        <f t="shared" ca="1" si="50"/>
        <v>12.059595762918583</v>
      </c>
      <c r="E701">
        <f t="shared" ca="1" si="51"/>
        <v>1</v>
      </c>
      <c r="F701" s="84">
        <f t="shared" si="52"/>
        <v>20</v>
      </c>
      <c r="G701">
        <v>20</v>
      </c>
      <c r="H701">
        <v>0</v>
      </c>
      <c r="I701">
        <f t="shared" si="53"/>
        <v>1</v>
      </c>
      <c r="J701">
        <f t="shared" si="54"/>
        <v>3.0442000000000002E-4</v>
      </c>
    </row>
    <row r="702" spans="4:10">
      <c r="D702">
        <f t="shared" ca="1" si="50"/>
        <v>38.690006850814981</v>
      </c>
      <c r="E702">
        <f t="shared" ca="1" si="51"/>
        <v>1</v>
      </c>
      <c r="F702" s="84">
        <f t="shared" si="52"/>
        <v>27</v>
      </c>
      <c r="G702">
        <v>27</v>
      </c>
      <c r="H702">
        <v>1</v>
      </c>
      <c r="I702">
        <f t="shared" si="53"/>
        <v>1</v>
      </c>
      <c r="J702">
        <f t="shared" si="54"/>
        <v>3.1334000000000001E-4</v>
      </c>
    </row>
    <row r="703" spans="4:10">
      <c r="D703">
        <f t="shared" ca="1" si="50"/>
        <v>6.605014217394455</v>
      </c>
      <c r="E703">
        <f t="shared" ca="1" si="51"/>
        <v>0</v>
      </c>
      <c r="F703" s="84">
        <f t="shared" si="52"/>
        <v>54</v>
      </c>
      <c r="G703">
        <v>54</v>
      </c>
      <c r="H703">
        <v>1</v>
      </c>
      <c r="I703">
        <f t="shared" si="53"/>
        <v>1</v>
      </c>
      <c r="J703">
        <f t="shared" si="54"/>
        <v>1.9186400000000001E-3</v>
      </c>
    </row>
    <row r="704" spans="4:10">
      <c r="D704">
        <f t="shared" ca="1" si="50"/>
        <v>35.330669994025023</v>
      </c>
      <c r="E704">
        <f t="shared" ca="1" si="51"/>
        <v>1</v>
      </c>
      <c r="F704" s="84">
        <f t="shared" si="52"/>
        <v>66</v>
      </c>
      <c r="G704">
        <v>66</v>
      </c>
      <c r="H704">
        <v>1</v>
      </c>
      <c r="I704">
        <f t="shared" si="53"/>
        <v>1</v>
      </c>
      <c r="J704">
        <f t="shared" si="54"/>
        <v>4.7119800000000002E-3</v>
      </c>
    </row>
    <row r="705" spans="4:10">
      <c r="D705">
        <f t="shared" ca="1" si="50"/>
        <v>62.253297379939518</v>
      </c>
      <c r="E705">
        <f t="shared" ca="1" si="51"/>
        <v>1</v>
      </c>
      <c r="F705" s="84">
        <f t="shared" si="52"/>
        <v>72</v>
      </c>
      <c r="G705">
        <v>72</v>
      </c>
      <c r="H705">
        <v>1</v>
      </c>
      <c r="I705">
        <f t="shared" si="53"/>
        <v>1</v>
      </c>
      <c r="J705">
        <f t="shared" si="54"/>
        <v>8.34792E-3</v>
      </c>
    </row>
    <row r="706" spans="4:10">
      <c r="D706">
        <f t="shared" ref="D706:D769" ca="1" si="55">NORMINV(RAND(), mean_age, sd_age)</f>
        <v>60.827002378528675</v>
      </c>
      <c r="E706">
        <f t="shared" ref="E706:E769" ca="1" si="56">_xlfn.BINOM.INV(1, prop_female, RAND())</f>
        <v>1</v>
      </c>
      <c r="F706" s="84">
        <f t="shared" ref="F706:F769" si="57">ROUND(G706,0)</f>
        <v>32</v>
      </c>
      <c r="G706">
        <v>32</v>
      </c>
      <c r="H706">
        <v>1</v>
      </c>
      <c r="I706">
        <f t="shared" ref="I706:I769" si="58">IF(G706&lt;18, 0, 1)</f>
        <v>1</v>
      </c>
      <c r="J706">
        <f t="shared" ref="J706:J769" si="59">IF(H706=0,VLOOKUP(G706,$M$2:$O$102,2,TRUE),VLOOKUP(G706,$M$2:$O$102,3,TRUE))</f>
        <v>3.1137E-4</v>
      </c>
    </row>
    <row r="707" spans="4:10">
      <c r="D707">
        <f t="shared" ca="1" si="55"/>
        <v>53.683748346897019</v>
      </c>
      <c r="E707">
        <f t="shared" ca="1" si="56"/>
        <v>1</v>
      </c>
      <c r="F707" s="84">
        <f t="shared" si="57"/>
        <v>59</v>
      </c>
      <c r="G707">
        <v>59</v>
      </c>
      <c r="H707">
        <v>1</v>
      </c>
      <c r="I707">
        <f t="shared" si="58"/>
        <v>1</v>
      </c>
      <c r="J707">
        <f t="shared" si="59"/>
        <v>2.84666E-3</v>
      </c>
    </row>
    <row r="708" spans="4:10">
      <c r="D708">
        <f t="shared" ca="1" si="55"/>
        <v>56.539776958517365</v>
      </c>
      <c r="E708">
        <f t="shared" ca="1" si="56"/>
        <v>1</v>
      </c>
      <c r="F708" s="84">
        <f t="shared" si="57"/>
        <v>52</v>
      </c>
      <c r="G708">
        <v>52</v>
      </c>
      <c r="H708">
        <v>1</v>
      </c>
      <c r="I708">
        <f t="shared" si="58"/>
        <v>1</v>
      </c>
      <c r="J708">
        <f t="shared" si="59"/>
        <v>1.60396E-3</v>
      </c>
    </row>
    <row r="709" spans="4:10">
      <c r="D709">
        <f t="shared" ca="1" si="55"/>
        <v>44.021651851134273</v>
      </c>
      <c r="E709">
        <f t="shared" ca="1" si="56"/>
        <v>1</v>
      </c>
      <c r="F709" s="84">
        <f t="shared" si="57"/>
        <v>34</v>
      </c>
      <c r="G709">
        <v>34</v>
      </c>
      <c r="H709">
        <v>1</v>
      </c>
      <c r="I709">
        <f t="shared" si="58"/>
        <v>1</v>
      </c>
      <c r="J709">
        <f t="shared" si="59"/>
        <v>3.3452999999999998E-4</v>
      </c>
    </row>
    <row r="710" spans="4:10">
      <c r="D710">
        <f t="shared" ca="1" si="55"/>
        <v>67.575625630291682</v>
      </c>
      <c r="E710">
        <f t="shared" ca="1" si="56"/>
        <v>1</v>
      </c>
      <c r="F710" s="84">
        <f t="shared" si="57"/>
        <v>51</v>
      </c>
      <c r="G710">
        <v>51</v>
      </c>
      <c r="H710">
        <v>0</v>
      </c>
      <c r="I710">
        <f t="shared" si="58"/>
        <v>1</v>
      </c>
      <c r="J710">
        <f t="shared" si="59"/>
        <v>3.1559499999999998E-3</v>
      </c>
    </row>
    <row r="711" spans="4:10">
      <c r="D711">
        <f t="shared" ca="1" si="55"/>
        <v>49.969083813514224</v>
      </c>
      <c r="E711">
        <f t="shared" ca="1" si="56"/>
        <v>1</v>
      </c>
      <c r="F711" s="84">
        <f t="shared" si="57"/>
        <v>75</v>
      </c>
      <c r="G711">
        <v>75</v>
      </c>
      <c r="H711">
        <v>1</v>
      </c>
      <c r="I711">
        <f t="shared" si="58"/>
        <v>1</v>
      </c>
      <c r="J711">
        <f t="shared" si="59"/>
        <v>1.2187669999999999E-2</v>
      </c>
    </row>
    <row r="712" spans="4:10">
      <c r="D712">
        <f t="shared" ca="1" si="55"/>
        <v>51.150421794383035</v>
      </c>
      <c r="E712">
        <f t="shared" ca="1" si="56"/>
        <v>1</v>
      </c>
      <c r="F712" s="84">
        <f t="shared" si="57"/>
        <v>16</v>
      </c>
      <c r="G712">
        <v>16</v>
      </c>
      <c r="H712">
        <v>1</v>
      </c>
      <c r="I712">
        <f t="shared" si="58"/>
        <v>0</v>
      </c>
      <c r="J712">
        <f t="shared" si="59"/>
        <v>1.3677000000000001E-4</v>
      </c>
    </row>
    <row r="713" spans="4:10">
      <c r="D713">
        <f t="shared" ca="1" si="55"/>
        <v>46.623502623935622</v>
      </c>
      <c r="E713">
        <f t="shared" ca="1" si="56"/>
        <v>0</v>
      </c>
      <c r="F713" s="84">
        <f t="shared" si="57"/>
        <v>60</v>
      </c>
      <c r="G713">
        <v>60</v>
      </c>
      <c r="H713">
        <v>1</v>
      </c>
      <c r="I713">
        <f t="shared" si="58"/>
        <v>1</v>
      </c>
      <c r="J713">
        <f t="shared" si="59"/>
        <v>3.06333E-3</v>
      </c>
    </row>
    <row r="714" spans="4:10">
      <c r="D714">
        <f t="shared" ca="1" si="55"/>
        <v>17.617197153433722</v>
      </c>
      <c r="E714">
        <f t="shared" ca="1" si="56"/>
        <v>0</v>
      </c>
      <c r="F714" s="84">
        <f t="shared" si="57"/>
        <v>23</v>
      </c>
      <c r="G714">
        <v>23</v>
      </c>
      <c r="H714">
        <v>0</v>
      </c>
      <c r="I714">
        <f t="shared" si="58"/>
        <v>1</v>
      </c>
      <c r="J714">
        <f t="shared" si="59"/>
        <v>3.1492E-4</v>
      </c>
    </row>
    <row r="715" spans="4:10">
      <c r="D715">
        <f t="shared" ca="1" si="55"/>
        <v>23.742142102954372</v>
      </c>
      <c r="E715">
        <f t="shared" ca="1" si="56"/>
        <v>1</v>
      </c>
      <c r="F715" s="84">
        <f t="shared" si="57"/>
        <v>37</v>
      </c>
      <c r="G715">
        <v>37</v>
      </c>
      <c r="H715">
        <v>1</v>
      </c>
      <c r="I715">
        <f t="shared" si="58"/>
        <v>1</v>
      </c>
      <c r="J715">
        <f t="shared" si="59"/>
        <v>4.1611000000000003E-4</v>
      </c>
    </row>
    <row r="716" spans="4:10">
      <c r="D716">
        <f t="shared" ca="1" si="55"/>
        <v>38.934754031717929</v>
      </c>
      <c r="E716">
        <f t="shared" ca="1" si="56"/>
        <v>1</v>
      </c>
      <c r="F716" s="84">
        <f t="shared" si="57"/>
        <v>65</v>
      </c>
      <c r="G716">
        <v>65</v>
      </c>
      <c r="H716">
        <v>1</v>
      </c>
      <c r="I716">
        <f t="shared" si="58"/>
        <v>1</v>
      </c>
      <c r="J716">
        <f t="shared" si="59"/>
        <v>4.3744200000000004E-3</v>
      </c>
    </row>
    <row r="717" spans="4:10">
      <c r="D717">
        <f t="shared" ca="1" si="55"/>
        <v>40.370429556372876</v>
      </c>
      <c r="E717">
        <f t="shared" ca="1" si="56"/>
        <v>0</v>
      </c>
      <c r="F717" s="84">
        <f t="shared" si="57"/>
        <v>84</v>
      </c>
      <c r="G717">
        <v>84</v>
      </c>
      <c r="H717">
        <v>1</v>
      </c>
      <c r="I717">
        <f t="shared" si="58"/>
        <v>1</v>
      </c>
      <c r="J717">
        <f t="shared" si="59"/>
        <v>3.9859650000000003E-2</v>
      </c>
    </row>
    <row r="718" spans="4:10">
      <c r="D718">
        <f t="shared" ca="1" si="55"/>
        <v>57.011885244193849</v>
      </c>
      <c r="E718">
        <f t="shared" ca="1" si="56"/>
        <v>1</v>
      </c>
      <c r="F718" s="84">
        <f t="shared" si="57"/>
        <v>46</v>
      </c>
      <c r="G718">
        <v>46</v>
      </c>
      <c r="H718">
        <v>1</v>
      </c>
      <c r="I718">
        <f t="shared" si="58"/>
        <v>1</v>
      </c>
      <c r="J718">
        <f t="shared" si="59"/>
        <v>8.7060000000000002E-4</v>
      </c>
    </row>
    <row r="719" spans="4:10">
      <c r="D719">
        <f t="shared" ca="1" si="55"/>
        <v>43.926666419451465</v>
      </c>
      <c r="E719">
        <f t="shared" ca="1" si="56"/>
        <v>0</v>
      </c>
      <c r="F719" s="84">
        <f t="shared" si="57"/>
        <v>25</v>
      </c>
      <c r="G719">
        <v>25</v>
      </c>
      <c r="H719">
        <v>1</v>
      </c>
      <c r="I719">
        <f t="shared" si="58"/>
        <v>1</v>
      </c>
      <c r="J719">
        <f t="shared" si="59"/>
        <v>2.8196999999999999E-4</v>
      </c>
    </row>
    <row r="720" spans="4:10">
      <c r="D720">
        <f t="shared" ca="1" si="55"/>
        <v>33.755650538180895</v>
      </c>
      <c r="E720">
        <f t="shared" ca="1" si="56"/>
        <v>1</v>
      </c>
      <c r="F720" s="84">
        <f t="shared" si="57"/>
        <v>39</v>
      </c>
      <c r="G720">
        <v>39</v>
      </c>
      <c r="H720">
        <v>0</v>
      </c>
      <c r="I720">
        <f t="shared" si="58"/>
        <v>1</v>
      </c>
      <c r="J720">
        <f t="shared" si="59"/>
        <v>9.5204999999999997E-4</v>
      </c>
    </row>
    <row r="721" spans="4:10">
      <c r="D721">
        <f t="shared" ca="1" si="55"/>
        <v>40.044362499422093</v>
      </c>
      <c r="E721">
        <f t="shared" ca="1" si="56"/>
        <v>1</v>
      </c>
      <c r="F721" s="84">
        <f t="shared" si="57"/>
        <v>49</v>
      </c>
      <c r="G721">
        <v>49</v>
      </c>
      <c r="H721">
        <v>1</v>
      </c>
      <c r="I721">
        <f t="shared" si="58"/>
        <v>1</v>
      </c>
      <c r="J721">
        <f t="shared" si="59"/>
        <v>1.1877400000000001E-3</v>
      </c>
    </row>
    <row r="722" spans="4:10">
      <c r="D722">
        <f t="shared" ca="1" si="55"/>
        <v>46.498548717786022</v>
      </c>
      <c r="E722">
        <f t="shared" ca="1" si="56"/>
        <v>0</v>
      </c>
      <c r="F722" s="84">
        <f t="shared" si="57"/>
        <v>51</v>
      </c>
      <c r="G722">
        <v>51</v>
      </c>
      <c r="H722">
        <v>1</v>
      </c>
      <c r="I722">
        <f t="shared" si="58"/>
        <v>1</v>
      </c>
      <c r="J722">
        <f t="shared" si="59"/>
        <v>1.4570900000000001E-3</v>
      </c>
    </row>
    <row r="723" spans="4:10">
      <c r="D723">
        <f t="shared" ca="1" si="55"/>
        <v>68.123143998251436</v>
      </c>
      <c r="E723">
        <f t="shared" ca="1" si="56"/>
        <v>0</v>
      </c>
      <c r="F723" s="84">
        <f t="shared" si="57"/>
        <v>33</v>
      </c>
      <c r="G723">
        <v>33</v>
      </c>
      <c r="H723">
        <v>1</v>
      </c>
      <c r="I723">
        <f t="shared" si="58"/>
        <v>1</v>
      </c>
      <c r="J723">
        <f t="shared" si="59"/>
        <v>3.1915999999999997E-4</v>
      </c>
    </row>
    <row r="724" spans="4:10">
      <c r="D724">
        <f t="shared" ca="1" si="55"/>
        <v>61.21946956208776</v>
      </c>
      <c r="E724">
        <f t="shared" ca="1" si="56"/>
        <v>0</v>
      </c>
      <c r="F724" s="84">
        <f t="shared" si="57"/>
        <v>56</v>
      </c>
      <c r="G724">
        <v>56</v>
      </c>
      <c r="H724">
        <v>1</v>
      </c>
      <c r="I724">
        <f t="shared" si="58"/>
        <v>1</v>
      </c>
      <c r="J724">
        <f t="shared" si="59"/>
        <v>2.2598000000000002E-3</v>
      </c>
    </row>
    <row r="725" spans="4:10">
      <c r="D725">
        <f t="shared" ca="1" si="55"/>
        <v>7.2904039004699115</v>
      </c>
      <c r="E725">
        <f t="shared" ca="1" si="56"/>
        <v>1</v>
      </c>
      <c r="F725" s="84">
        <f t="shared" si="57"/>
        <v>49</v>
      </c>
      <c r="G725">
        <v>49</v>
      </c>
      <c r="H725">
        <v>1</v>
      </c>
      <c r="I725">
        <f t="shared" si="58"/>
        <v>1</v>
      </c>
      <c r="J725">
        <f t="shared" si="59"/>
        <v>1.1877400000000001E-3</v>
      </c>
    </row>
    <row r="726" spans="4:10">
      <c r="D726">
        <f t="shared" ca="1" si="55"/>
        <v>39.421530804669459</v>
      </c>
      <c r="E726">
        <f t="shared" ca="1" si="56"/>
        <v>1</v>
      </c>
      <c r="F726" s="84">
        <f t="shared" si="57"/>
        <v>35</v>
      </c>
      <c r="G726">
        <v>35</v>
      </c>
      <c r="H726">
        <v>1</v>
      </c>
      <c r="I726">
        <f t="shared" si="58"/>
        <v>1</v>
      </c>
      <c r="J726">
        <f t="shared" si="59"/>
        <v>3.5702999999999999E-4</v>
      </c>
    </row>
    <row r="727" spans="4:10">
      <c r="D727">
        <f t="shared" ca="1" si="55"/>
        <v>57.842498349968871</v>
      </c>
      <c r="E727">
        <f t="shared" ca="1" si="56"/>
        <v>1</v>
      </c>
      <c r="F727" s="84">
        <f t="shared" si="57"/>
        <v>55</v>
      </c>
      <c r="G727">
        <v>55</v>
      </c>
      <c r="H727">
        <v>1</v>
      </c>
      <c r="I727">
        <f t="shared" si="58"/>
        <v>1</v>
      </c>
      <c r="J727">
        <f t="shared" si="59"/>
        <v>2.0857200000000001E-3</v>
      </c>
    </row>
    <row r="728" spans="4:10">
      <c r="D728">
        <f t="shared" ca="1" si="55"/>
        <v>47.34195041937452</v>
      </c>
      <c r="E728">
        <f t="shared" ca="1" si="56"/>
        <v>1</v>
      </c>
      <c r="F728" s="84">
        <f t="shared" si="57"/>
        <v>0</v>
      </c>
      <c r="G728">
        <v>0</v>
      </c>
      <c r="H728">
        <v>1</v>
      </c>
      <c r="I728">
        <f t="shared" si="58"/>
        <v>0</v>
      </c>
      <c r="J728">
        <f t="shared" si="59"/>
        <v>1.8345900000000001E-3</v>
      </c>
    </row>
    <row r="729" spans="4:10">
      <c r="D729">
        <f t="shared" ca="1" si="55"/>
        <v>30.402556634474408</v>
      </c>
      <c r="E729">
        <f t="shared" ca="1" si="56"/>
        <v>0</v>
      </c>
      <c r="F729" s="84">
        <f t="shared" si="57"/>
        <v>67</v>
      </c>
      <c r="G729">
        <v>67</v>
      </c>
      <c r="H729">
        <v>1</v>
      </c>
      <c r="I729">
        <f t="shared" si="58"/>
        <v>1</v>
      </c>
      <c r="J729">
        <f t="shared" si="59"/>
        <v>5.09392E-3</v>
      </c>
    </row>
    <row r="730" spans="4:10">
      <c r="D730">
        <f t="shared" ca="1" si="55"/>
        <v>73.67320560971001</v>
      </c>
      <c r="E730">
        <f t="shared" ca="1" si="56"/>
        <v>1</v>
      </c>
      <c r="F730" s="84">
        <f t="shared" si="57"/>
        <v>44</v>
      </c>
      <c r="G730">
        <v>44</v>
      </c>
      <c r="H730">
        <v>1</v>
      </c>
      <c r="I730">
        <f t="shared" si="58"/>
        <v>1</v>
      </c>
      <c r="J730">
        <f t="shared" si="59"/>
        <v>7.2154999999999995E-4</v>
      </c>
    </row>
    <row r="731" spans="4:10">
      <c r="D731">
        <f t="shared" ca="1" si="55"/>
        <v>12.81194947305319</v>
      </c>
      <c r="E731">
        <f t="shared" ca="1" si="56"/>
        <v>0</v>
      </c>
      <c r="F731" s="84">
        <f t="shared" si="57"/>
        <v>51</v>
      </c>
      <c r="G731">
        <v>51</v>
      </c>
      <c r="H731">
        <v>1</v>
      </c>
      <c r="I731">
        <f t="shared" si="58"/>
        <v>1</v>
      </c>
      <c r="J731">
        <f t="shared" si="59"/>
        <v>1.4570900000000001E-3</v>
      </c>
    </row>
    <row r="732" spans="4:10">
      <c r="D732">
        <f t="shared" ca="1" si="55"/>
        <v>16.256222798106641</v>
      </c>
      <c r="E732">
        <f t="shared" ca="1" si="56"/>
        <v>1</v>
      </c>
      <c r="F732" s="84">
        <f t="shared" si="57"/>
        <v>27</v>
      </c>
      <c r="G732">
        <v>27</v>
      </c>
      <c r="H732">
        <v>1</v>
      </c>
      <c r="I732">
        <f t="shared" si="58"/>
        <v>1</v>
      </c>
      <c r="J732">
        <f t="shared" si="59"/>
        <v>3.1334000000000001E-4</v>
      </c>
    </row>
    <row r="733" spans="4:10">
      <c r="D733">
        <f t="shared" ca="1" si="55"/>
        <v>67.965622149820945</v>
      </c>
      <c r="E733">
        <f t="shared" ca="1" si="56"/>
        <v>0</v>
      </c>
      <c r="F733" s="84">
        <f t="shared" si="57"/>
        <v>30</v>
      </c>
      <c r="G733">
        <v>30</v>
      </c>
      <c r="H733">
        <v>1</v>
      </c>
      <c r="I733">
        <f t="shared" si="58"/>
        <v>1</v>
      </c>
      <c r="J733">
        <f t="shared" si="59"/>
        <v>3.1370999999999998E-4</v>
      </c>
    </row>
    <row r="734" spans="4:10">
      <c r="D734">
        <f t="shared" ca="1" si="55"/>
        <v>36.568351147343606</v>
      </c>
      <c r="E734">
        <f t="shared" ca="1" si="56"/>
        <v>1</v>
      </c>
      <c r="F734" s="84">
        <f t="shared" si="57"/>
        <v>58</v>
      </c>
      <c r="G734">
        <v>58</v>
      </c>
      <c r="H734">
        <v>0</v>
      </c>
      <c r="I734">
        <f t="shared" si="58"/>
        <v>1</v>
      </c>
      <c r="J734">
        <f t="shared" si="59"/>
        <v>5.2128900000000004E-3</v>
      </c>
    </row>
    <row r="735" spans="4:10">
      <c r="D735">
        <f t="shared" ca="1" si="55"/>
        <v>44.170883634157803</v>
      </c>
      <c r="E735">
        <f t="shared" ca="1" si="56"/>
        <v>1</v>
      </c>
      <c r="F735" s="84">
        <f t="shared" si="57"/>
        <v>21</v>
      </c>
      <c r="G735">
        <v>21</v>
      </c>
      <c r="H735">
        <v>1</v>
      </c>
      <c r="I735">
        <f t="shared" si="58"/>
        <v>1</v>
      </c>
      <c r="J735">
        <f t="shared" si="59"/>
        <v>1.8384E-4</v>
      </c>
    </row>
    <row r="736" spans="4:10">
      <c r="D736">
        <f t="shared" ca="1" si="55"/>
        <v>62.006857797485871</v>
      </c>
      <c r="E736">
        <f t="shared" ca="1" si="56"/>
        <v>1</v>
      </c>
      <c r="F736" s="84">
        <f t="shared" si="57"/>
        <v>64</v>
      </c>
      <c r="G736">
        <v>64</v>
      </c>
      <c r="H736">
        <v>1</v>
      </c>
      <c r="I736">
        <f t="shared" si="58"/>
        <v>1</v>
      </c>
      <c r="J736">
        <f t="shared" si="59"/>
        <v>4.06529E-3</v>
      </c>
    </row>
    <row r="737" spans="4:10">
      <c r="D737">
        <f t="shared" ca="1" si="55"/>
        <v>15.886740202117114</v>
      </c>
      <c r="E737">
        <f t="shared" ca="1" si="56"/>
        <v>1</v>
      </c>
      <c r="F737" s="84">
        <f t="shared" si="57"/>
        <v>27</v>
      </c>
      <c r="G737">
        <v>27</v>
      </c>
      <c r="H737">
        <v>1</v>
      </c>
      <c r="I737">
        <f t="shared" si="58"/>
        <v>1</v>
      </c>
      <c r="J737">
        <f t="shared" si="59"/>
        <v>3.1334000000000001E-4</v>
      </c>
    </row>
    <row r="738" spans="4:10">
      <c r="D738">
        <f t="shared" ca="1" si="55"/>
        <v>50.073451143974161</v>
      </c>
      <c r="E738">
        <f t="shared" ca="1" si="56"/>
        <v>0</v>
      </c>
      <c r="F738" s="84">
        <f t="shared" si="57"/>
        <v>60</v>
      </c>
      <c r="G738">
        <v>60</v>
      </c>
      <c r="H738">
        <v>1</v>
      </c>
      <c r="I738">
        <f t="shared" si="58"/>
        <v>1</v>
      </c>
      <c r="J738">
        <f t="shared" si="59"/>
        <v>3.06333E-3</v>
      </c>
    </row>
    <row r="739" spans="4:10">
      <c r="D739">
        <f t="shared" ca="1" si="55"/>
        <v>48.155065584653578</v>
      </c>
      <c r="E739">
        <f t="shared" ca="1" si="56"/>
        <v>0</v>
      </c>
      <c r="F739" s="84">
        <f t="shared" si="57"/>
        <v>21</v>
      </c>
      <c r="G739">
        <v>21</v>
      </c>
      <c r="H739">
        <v>1</v>
      </c>
      <c r="I739">
        <f t="shared" si="58"/>
        <v>1</v>
      </c>
      <c r="J739">
        <f t="shared" si="59"/>
        <v>1.8384E-4</v>
      </c>
    </row>
    <row r="740" spans="4:10">
      <c r="D740">
        <f t="shared" ca="1" si="55"/>
        <v>31.199555287649169</v>
      </c>
      <c r="E740">
        <f t="shared" ca="1" si="56"/>
        <v>1</v>
      </c>
      <c r="F740" s="84">
        <f t="shared" si="57"/>
        <v>44</v>
      </c>
      <c r="G740">
        <v>44</v>
      </c>
      <c r="H740">
        <v>1</v>
      </c>
      <c r="I740">
        <f t="shared" si="58"/>
        <v>1</v>
      </c>
      <c r="J740">
        <f t="shared" si="59"/>
        <v>7.2154999999999995E-4</v>
      </c>
    </row>
    <row r="741" spans="4:10">
      <c r="D741">
        <f t="shared" ca="1" si="55"/>
        <v>45.421921877326859</v>
      </c>
      <c r="E741">
        <f t="shared" ca="1" si="56"/>
        <v>1</v>
      </c>
      <c r="F741" s="84">
        <f t="shared" si="57"/>
        <v>53</v>
      </c>
      <c r="G741">
        <v>53</v>
      </c>
      <c r="H741">
        <v>1</v>
      </c>
      <c r="I741">
        <f t="shared" si="58"/>
        <v>1</v>
      </c>
      <c r="J741">
        <f t="shared" si="59"/>
        <v>1.7577700000000001E-3</v>
      </c>
    </row>
    <row r="742" spans="4:10">
      <c r="D742">
        <f t="shared" ca="1" si="55"/>
        <v>51.754776305468084</v>
      </c>
      <c r="E742">
        <f t="shared" ca="1" si="56"/>
        <v>1</v>
      </c>
      <c r="F742" s="84">
        <f t="shared" si="57"/>
        <v>55</v>
      </c>
      <c r="G742">
        <v>55</v>
      </c>
      <c r="H742">
        <v>1</v>
      </c>
      <c r="I742">
        <f t="shared" si="58"/>
        <v>1</v>
      </c>
      <c r="J742">
        <f t="shared" si="59"/>
        <v>2.0857200000000001E-3</v>
      </c>
    </row>
    <row r="743" spans="4:10">
      <c r="D743">
        <f t="shared" ca="1" si="55"/>
        <v>55.289034132559365</v>
      </c>
      <c r="E743">
        <f t="shared" ca="1" si="56"/>
        <v>0</v>
      </c>
      <c r="F743" s="84">
        <f t="shared" si="57"/>
        <v>55</v>
      </c>
      <c r="G743">
        <v>55</v>
      </c>
      <c r="H743">
        <v>1</v>
      </c>
      <c r="I743">
        <f t="shared" si="58"/>
        <v>1</v>
      </c>
      <c r="J743">
        <f t="shared" si="59"/>
        <v>2.0857200000000001E-3</v>
      </c>
    </row>
    <row r="744" spans="4:10">
      <c r="D744">
        <f t="shared" ca="1" si="55"/>
        <v>61.858657384108376</v>
      </c>
      <c r="E744">
        <f t="shared" ca="1" si="56"/>
        <v>0</v>
      </c>
      <c r="F744" s="84">
        <f t="shared" si="57"/>
        <v>33</v>
      </c>
      <c r="G744">
        <v>33</v>
      </c>
      <c r="H744">
        <v>1</v>
      </c>
      <c r="I744">
        <f t="shared" si="58"/>
        <v>1</v>
      </c>
      <c r="J744">
        <f t="shared" si="59"/>
        <v>3.1915999999999997E-4</v>
      </c>
    </row>
    <row r="745" spans="4:10">
      <c r="D745">
        <f t="shared" ca="1" si="55"/>
        <v>36.104182333410478</v>
      </c>
      <c r="E745">
        <f t="shared" ca="1" si="56"/>
        <v>0</v>
      </c>
      <c r="F745" s="84">
        <f t="shared" si="57"/>
        <v>48</v>
      </c>
      <c r="G745">
        <v>48</v>
      </c>
      <c r="H745">
        <v>1</v>
      </c>
      <c r="I745">
        <f t="shared" si="58"/>
        <v>1</v>
      </c>
      <c r="J745">
        <f t="shared" si="59"/>
        <v>1.0691400000000001E-3</v>
      </c>
    </row>
    <row r="746" spans="4:10">
      <c r="D746">
        <f t="shared" ca="1" si="55"/>
        <v>51.715461473254329</v>
      </c>
      <c r="E746">
        <f t="shared" ca="1" si="56"/>
        <v>0</v>
      </c>
      <c r="F746" s="84">
        <f t="shared" si="57"/>
        <v>78</v>
      </c>
      <c r="G746">
        <v>78</v>
      </c>
      <c r="H746">
        <v>1</v>
      </c>
      <c r="I746">
        <f t="shared" si="58"/>
        <v>1</v>
      </c>
      <c r="J746">
        <f t="shared" si="59"/>
        <v>1.8496809999999999E-2</v>
      </c>
    </row>
    <row r="747" spans="4:10">
      <c r="D747">
        <f t="shared" ca="1" si="55"/>
        <v>43.476606204819845</v>
      </c>
      <c r="E747">
        <f t="shared" ca="1" si="56"/>
        <v>1</v>
      </c>
      <c r="F747" s="84">
        <f t="shared" si="57"/>
        <v>16</v>
      </c>
      <c r="G747">
        <v>16</v>
      </c>
      <c r="H747">
        <v>1</v>
      </c>
      <c r="I747">
        <f t="shared" si="58"/>
        <v>0</v>
      </c>
      <c r="J747">
        <f t="shared" si="59"/>
        <v>1.3677000000000001E-4</v>
      </c>
    </row>
    <row r="748" spans="4:10">
      <c r="D748">
        <f t="shared" ca="1" si="55"/>
        <v>49.014874781400643</v>
      </c>
      <c r="E748">
        <f t="shared" ca="1" si="56"/>
        <v>1</v>
      </c>
      <c r="F748" s="84">
        <f t="shared" si="57"/>
        <v>30</v>
      </c>
      <c r="G748">
        <v>30</v>
      </c>
      <c r="H748">
        <v>1</v>
      </c>
      <c r="I748">
        <f t="shared" si="58"/>
        <v>1</v>
      </c>
      <c r="J748">
        <f t="shared" si="59"/>
        <v>3.1370999999999998E-4</v>
      </c>
    </row>
    <row r="749" spans="4:10">
      <c r="D749">
        <f t="shared" ca="1" si="55"/>
        <v>40.086567549616994</v>
      </c>
      <c r="E749">
        <f t="shared" ca="1" si="56"/>
        <v>1</v>
      </c>
      <c r="F749" s="84">
        <f t="shared" si="57"/>
        <v>17</v>
      </c>
      <c r="G749">
        <v>17</v>
      </c>
      <c r="H749">
        <v>1</v>
      </c>
      <c r="I749">
        <f t="shared" si="58"/>
        <v>0</v>
      </c>
      <c r="J749">
        <f t="shared" si="59"/>
        <v>1.406E-4</v>
      </c>
    </row>
    <row r="750" spans="4:10">
      <c r="D750">
        <f t="shared" ca="1" si="55"/>
        <v>53.53111441291977</v>
      </c>
      <c r="E750">
        <f t="shared" ca="1" si="56"/>
        <v>1</v>
      </c>
      <c r="F750" s="84">
        <f t="shared" si="57"/>
        <v>6</v>
      </c>
      <c r="G750">
        <v>6</v>
      </c>
      <c r="H750">
        <v>1</v>
      </c>
      <c r="I750">
        <f t="shared" si="58"/>
        <v>0</v>
      </c>
      <c r="J750">
        <f t="shared" si="59"/>
        <v>9.0459999999999998E-5</v>
      </c>
    </row>
    <row r="751" spans="4:10">
      <c r="D751">
        <f t="shared" ca="1" si="55"/>
        <v>30.540499419359215</v>
      </c>
      <c r="E751">
        <f t="shared" ca="1" si="56"/>
        <v>1</v>
      </c>
      <c r="F751" s="84">
        <f t="shared" si="57"/>
        <v>69</v>
      </c>
      <c r="G751">
        <v>69</v>
      </c>
      <c r="H751">
        <v>1</v>
      </c>
      <c r="I751">
        <f t="shared" si="58"/>
        <v>1</v>
      </c>
      <c r="J751">
        <f t="shared" si="59"/>
        <v>6.08371E-3</v>
      </c>
    </row>
    <row r="752" spans="4:10">
      <c r="D752">
        <f t="shared" ca="1" si="55"/>
        <v>69.877759243021245</v>
      </c>
      <c r="E752">
        <f t="shared" ca="1" si="56"/>
        <v>0</v>
      </c>
      <c r="F752" s="84">
        <f t="shared" si="57"/>
        <v>62</v>
      </c>
      <c r="G752">
        <v>62</v>
      </c>
      <c r="H752">
        <v>0</v>
      </c>
      <c r="I752">
        <f t="shared" si="58"/>
        <v>1</v>
      </c>
      <c r="J752">
        <f t="shared" si="59"/>
        <v>7.3471500000000002E-3</v>
      </c>
    </row>
    <row r="753" spans="4:10">
      <c r="D753">
        <f t="shared" ca="1" si="55"/>
        <v>48.922193707696231</v>
      </c>
      <c r="E753">
        <f t="shared" ca="1" si="56"/>
        <v>1</v>
      </c>
      <c r="F753" s="84">
        <f t="shared" si="57"/>
        <v>45</v>
      </c>
      <c r="G753">
        <v>45</v>
      </c>
      <c r="H753">
        <v>1</v>
      </c>
      <c r="I753">
        <f t="shared" si="58"/>
        <v>1</v>
      </c>
      <c r="J753">
        <f t="shared" si="59"/>
        <v>7.9022999999999995E-4</v>
      </c>
    </row>
    <row r="754" spans="4:10">
      <c r="D754">
        <f t="shared" ca="1" si="55"/>
        <v>49.229583569916024</v>
      </c>
      <c r="E754">
        <f t="shared" ca="1" si="56"/>
        <v>1</v>
      </c>
      <c r="F754" s="84">
        <f t="shared" si="57"/>
        <v>38</v>
      </c>
      <c r="G754">
        <v>38</v>
      </c>
      <c r="H754">
        <v>1</v>
      </c>
      <c r="I754">
        <f t="shared" si="58"/>
        <v>1</v>
      </c>
      <c r="J754">
        <f t="shared" si="59"/>
        <v>4.4977E-4</v>
      </c>
    </row>
    <row r="755" spans="4:10">
      <c r="D755">
        <f t="shared" ca="1" si="55"/>
        <v>31.963425940268348</v>
      </c>
      <c r="E755">
        <f t="shared" ca="1" si="56"/>
        <v>1</v>
      </c>
      <c r="F755" s="84">
        <f t="shared" si="57"/>
        <v>38</v>
      </c>
      <c r="G755">
        <v>38</v>
      </c>
      <c r="H755">
        <v>1</v>
      </c>
      <c r="I755">
        <f t="shared" si="58"/>
        <v>1</v>
      </c>
      <c r="J755">
        <f t="shared" si="59"/>
        <v>4.4977E-4</v>
      </c>
    </row>
    <row r="756" spans="4:10">
      <c r="D756">
        <f t="shared" ca="1" si="55"/>
        <v>51.444094726201655</v>
      </c>
      <c r="E756">
        <f t="shared" ca="1" si="56"/>
        <v>0</v>
      </c>
      <c r="F756" s="84">
        <f t="shared" si="57"/>
        <v>24</v>
      </c>
      <c r="G756">
        <v>24</v>
      </c>
      <c r="H756">
        <v>1</v>
      </c>
      <c r="I756">
        <f t="shared" si="58"/>
        <v>1</v>
      </c>
      <c r="J756">
        <f t="shared" si="59"/>
        <v>2.5754E-4</v>
      </c>
    </row>
    <row r="757" spans="4:10">
      <c r="D757">
        <f t="shared" ca="1" si="55"/>
        <v>77.44047538516746</v>
      </c>
      <c r="E757">
        <f t="shared" ca="1" si="56"/>
        <v>1</v>
      </c>
      <c r="F757" s="84">
        <f t="shared" si="57"/>
        <v>30</v>
      </c>
      <c r="G757">
        <v>30</v>
      </c>
      <c r="H757">
        <v>1</v>
      </c>
      <c r="I757">
        <f t="shared" si="58"/>
        <v>1</v>
      </c>
      <c r="J757">
        <f t="shared" si="59"/>
        <v>3.1370999999999998E-4</v>
      </c>
    </row>
    <row r="758" spans="4:10">
      <c r="D758">
        <f t="shared" ca="1" si="55"/>
        <v>69.171904328289145</v>
      </c>
      <c r="E758">
        <f t="shared" ca="1" si="56"/>
        <v>0</v>
      </c>
      <c r="F758" s="84">
        <f t="shared" si="57"/>
        <v>42</v>
      </c>
      <c r="G758">
        <v>42</v>
      </c>
      <c r="H758">
        <v>1</v>
      </c>
      <c r="I758">
        <f t="shared" si="58"/>
        <v>1</v>
      </c>
      <c r="J758">
        <f t="shared" si="59"/>
        <v>6.1160999999999995E-4</v>
      </c>
    </row>
    <row r="759" spans="4:10">
      <c r="D759">
        <f t="shared" ca="1" si="55"/>
        <v>66.547860092331959</v>
      </c>
      <c r="E759">
        <f t="shared" ca="1" si="56"/>
        <v>0</v>
      </c>
      <c r="F759" s="84">
        <f t="shared" si="57"/>
        <v>37</v>
      </c>
      <c r="G759">
        <v>37</v>
      </c>
      <c r="H759">
        <v>1</v>
      </c>
      <c r="I759">
        <f t="shared" si="58"/>
        <v>1</v>
      </c>
      <c r="J759">
        <f t="shared" si="59"/>
        <v>4.1611000000000003E-4</v>
      </c>
    </row>
    <row r="760" spans="4:10">
      <c r="D760">
        <f t="shared" ca="1" si="55"/>
        <v>21.156405860479438</v>
      </c>
      <c r="E760">
        <f t="shared" ca="1" si="56"/>
        <v>1</v>
      </c>
      <c r="F760" s="84">
        <f t="shared" si="57"/>
        <v>20</v>
      </c>
      <c r="G760">
        <v>20</v>
      </c>
      <c r="H760">
        <v>1</v>
      </c>
      <c r="I760">
        <f t="shared" si="58"/>
        <v>1</v>
      </c>
      <c r="J760">
        <f t="shared" si="59"/>
        <v>1.6644000000000001E-4</v>
      </c>
    </row>
    <row r="761" spans="4:10">
      <c r="D761">
        <f t="shared" ca="1" si="55"/>
        <v>54.642095306558844</v>
      </c>
      <c r="E761">
        <f t="shared" ca="1" si="56"/>
        <v>1</v>
      </c>
      <c r="F761" s="84">
        <f t="shared" si="57"/>
        <v>55</v>
      </c>
      <c r="G761">
        <v>55</v>
      </c>
      <c r="H761">
        <v>0</v>
      </c>
      <c r="I761">
        <f t="shared" si="58"/>
        <v>1</v>
      </c>
      <c r="J761">
        <f t="shared" si="59"/>
        <v>4.1453499999999999E-3</v>
      </c>
    </row>
    <row r="762" spans="4:10">
      <c r="D762">
        <f t="shared" ca="1" si="55"/>
        <v>39.606952893943557</v>
      </c>
      <c r="E762">
        <f t="shared" ca="1" si="56"/>
        <v>1</v>
      </c>
      <c r="F762" s="84">
        <f t="shared" si="57"/>
        <v>44</v>
      </c>
      <c r="G762">
        <v>44</v>
      </c>
      <c r="H762">
        <v>1</v>
      </c>
      <c r="I762">
        <f t="shared" si="58"/>
        <v>1</v>
      </c>
      <c r="J762">
        <f t="shared" si="59"/>
        <v>7.2154999999999995E-4</v>
      </c>
    </row>
    <row r="763" spans="4:10">
      <c r="D763">
        <f t="shared" ca="1" si="55"/>
        <v>49.984348051072637</v>
      </c>
      <c r="E763">
        <f t="shared" ca="1" si="56"/>
        <v>1</v>
      </c>
      <c r="F763" s="84">
        <f t="shared" si="57"/>
        <v>48</v>
      </c>
      <c r="G763">
        <v>48</v>
      </c>
      <c r="H763">
        <v>1</v>
      </c>
      <c r="I763">
        <f t="shared" si="58"/>
        <v>1</v>
      </c>
      <c r="J763">
        <f t="shared" si="59"/>
        <v>1.0691400000000001E-3</v>
      </c>
    </row>
    <row r="764" spans="4:10">
      <c r="D764">
        <f t="shared" ca="1" si="55"/>
        <v>64.191160426089439</v>
      </c>
      <c r="E764">
        <f t="shared" ca="1" si="56"/>
        <v>1</v>
      </c>
      <c r="F764" s="84">
        <f t="shared" si="57"/>
        <v>52</v>
      </c>
      <c r="G764">
        <v>52</v>
      </c>
      <c r="H764">
        <v>1</v>
      </c>
      <c r="I764">
        <f t="shared" si="58"/>
        <v>1</v>
      </c>
      <c r="J764">
        <f t="shared" si="59"/>
        <v>1.60396E-3</v>
      </c>
    </row>
    <row r="765" spans="4:10">
      <c r="D765">
        <f t="shared" ca="1" si="55"/>
        <v>29.515714824257664</v>
      </c>
      <c r="E765">
        <f t="shared" ca="1" si="56"/>
        <v>0</v>
      </c>
      <c r="F765" s="84">
        <f t="shared" si="57"/>
        <v>31</v>
      </c>
      <c r="G765">
        <v>31</v>
      </c>
      <c r="H765">
        <v>1</v>
      </c>
      <c r="I765">
        <f t="shared" si="58"/>
        <v>1</v>
      </c>
      <c r="J765">
        <f t="shared" si="59"/>
        <v>3.1021E-4</v>
      </c>
    </row>
    <row r="766" spans="4:10">
      <c r="D766">
        <f t="shared" ca="1" si="55"/>
        <v>36.507581541631026</v>
      </c>
      <c r="E766">
        <f t="shared" ca="1" si="56"/>
        <v>0</v>
      </c>
      <c r="F766" s="84">
        <f t="shared" si="57"/>
        <v>41</v>
      </c>
      <c r="G766">
        <v>41</v>
      </c>
      <c r="H766">
        <v>0</v>
      </c>
      <c r="I766">
        <f t="shared" si="58"/>
        <v>1</v>
      </c>
      <c r="J766">
        <f t="shared" si="59"/>
        <v>1.13831E-3</v>
      </c>
    </row>
    <row r="767" spans="4:10">
      <c r="D767">
        <f t="shared" ca="1" si="55"/>
        <v>56.489275678147941</v>
      </c>
      <c r="E767">
        <f t="shared" ca="1" si="56"/>
        <v>1</v>
      </c>
      <c r="F767" s="84">
        <f t="shared" si="57"/>
        <v>36</v>
      </c>
      <c r="G767">
        <v>36</v>
      </c>
      <c r="H767">
        <v>0</v>
      </c>
      <c r="I767">
        <f t="shared" si="58"/>
        <v>1</v>
      </c>
      <c r="J767">
        <f t="shared" si="59"/>
        <v>7.8529000000000001E-4</v>
      </c>
    </row>
    <row r="768" spans="4:10">
      <c r="D768">
        <f t="shared" ca="1" si="55"/>
        <v>47.459336056609871</v>
      </c>
      <c r="E768">
        <f t="shared" ca="1" si="56"/>
        <v>1</v>
      </c>
      <c r="F768" s="84">
        <f t="shared" si="57"/>
        <v>42</v>
      </c>
      <c r="G768">
        <v>42</v>
      </c>
      <c r="H768">
        <v>1</v>
      </c>
      <c r="I768">
        <f t="shared" si="58"/>
        <v>1</v>
      </c>
      <c r="J768">
        <f t="shared" si="59"/>
        <v>6.1160999999999995E-4</v>
      </c>
    </row>
    <row r="769" spans="4:10">
      <c r="D769">
        <f t="shared" ca="1" si="55"/>
        <v>28.547661180568905</v>
      </c>
      <c r="E769">
        <f t="shared" ca="1" si="56"/>
        <v>1</v>
      </c>
      <c r="F769" s="84">
        <f t="shared" si="57"/>
        <v>89</v>
      </c>
      <c r="G769">
        <v>89</v>
      </c>
      <c r="H769">
        <v>1</v>
      </c>
      <c r="I769">
        <f t="shared" si="58"/>
        <v>1</v>
      </c>
      <c r="J769">
        <f t="shared" si="59"/>
        <v>7.0407129999999998E-2</v>
      </c>
    </row>
    <row r="770" spans="4:10">
      <c r="D770">
        <f t="shared" ref="D770:D833" ca="1" si="60">NORMINV(RAND(), mean_age, sd_age)</f>
        <v>60.04208900567167</v>
      </c>
      <c r="E770">
        <f t="shared" ref="E770:E833" ca="1" si="61">_xlfn.BINOM.INV(1, prop_female, RAND())</f>
        <v>0</v>
      </c>
      <c r="F770" s="84">
        <f t="shared" ref="F770:F833" si="62">ROUND(G770,0)</f>
        <v>60</v>
      </c>
      <c r="G770">
        <v>60</v>
      </c>
      <c r="H770">
        <v>0</v>
      </c>
      <c r="I770">
        <f t="shared" ref="I770:I833" si="63">IF(G770&lt;18, 0, 1)</f>
        <v>1</v>
      </c>
      <c r="J770">
        <f t="shared" ref="J770:J833" si="64">IF(H770=0,VLOOKUP(G770,$M$2:$O$102,2,TRUE),VLOOKUP(G770,$M$2:$O$102,3,TRUE))</f>
        <v>6.1923100000000003E-3</v>
      </c>
    </row>
    <row r="771" spans="4:10">
      <c r="D771">
        <f t="shared" ca="1" si="60"/>
        <v>55.284412031944981</v>
      </c>
      <c r="E771">
        <f t="shared" ca="1" si="61"/>
        <v>1</v>
      </c>
      <c r="F771" s="84">
        <f t="shared" si="62"/>
        <v>55</v>
      </c>
      <c r="G771">
        <v>55</v>
      </c>
      <c r="H771">
        <v>0</v>
      </c>
      <c r="I771">
        <f t="shared" si="63"/>
        <v>1</v>
      </c>
      <c r="J771">
        <f t="shared" si="64"/>
        <v>4.1453499999999999E-3</v>
      </c>
    </row>
    <row r="772" spans="4:10">
      <c r="D772">
        <f t="shared" ca="1" si="60"/>
        <v>74.89032319670801</v>
      </c>
      <c r="E772">
        <f t="shared" ca="1" si="61"/>
        <v>1</v>
      </c>
      <c r="F772" s="84">
        <f t="shared" si="62"/>
        <v>24</v>
      </c>
      <c r="G772">
        <v>24</v>
      </c>
      <c r="H772">
        <v>1</v>
      </c>
      <c r="I772">
        <f t="shared" si="63"/>
        <v>1</v>
      </c>
      <c r="J772">
        <f t="shared" si="64"/>
        <v>2.5754E-4</v>
      </c>
    </row>
    <row r="773" spans="4:10">
      <c r="D773">
        <f t="shared" ca="1" si="60"/>
        <v>58.285114296483073</v>
      </c>
      <c r="E773">
        <f t="shared" ca="1" si="61"/>
        <v>1</v>
      </c>
      <c r="F773" s="84">
        <f t="shared" si="62"/>
        <v>58</v>
      </c>
      <c r="G773">
        <v>58</v>
      </c>
      <c r="H773">
        <v>1</v>
      </c>
      <c r="I773">
        <f t="shared" si="63"/>
        <v>1</v>
      </c>
      <c r="J773">
        <f t="shared" si="64"/>
        <v>2.63817E-3</v>
      </c>
    </row>
    <row r="774" spans="4:10">
      <c r="D774">
        <f t="shared" ca="1" si="60"/>
        <v>63.336154610544114</v>
      </c>
      <c r="E774">
        <f t="shared" ca="1" si="61"/>
        <v>1</v>
      </c>
      <c r="F774" s="84">
        <f t="shared" si="62"/>
        <v>68</v>
      </c>
      <c r="G774">
        <v>68</v>
      </c>
      <c r="H774">
        <v>0</v>
      </c>
      <c r="I774">
        <f t="shared" si="63"/>
        <v>1</v>
      </c>
      <c r="J774">
        <f t="shared" si="64"/>
        <v>1.192709E-2</v>
      </c>
    </row>
    <row r="775" spans="4:10">
      <c r="D775">
        <f t="shared" ca="1" si="60"/>
        <v>60.817556348142375</v>
      </c>
      <c r="E775">
        <f t="shared" ca="1" si="61"/>
        <v>0</v>
      </c>
      <c r="F775" s="84">
        <f t="shared" si="62"/>
        <v>33</v>
      </c>
      <c r="G775">
        <v>33</v>
      </c>
      <c r="H775">
        <v>1</v>
      </c>
      <c r="I775">
        <f t="shared" si="63"/>
        <v>1</v>
      </c>
      <c r="J775">
        <f t="shared" si="64"/>
        <v>3.1915999999999997E-4</v>
      </c>
    </row>
    <row r="776" spans="4:10">
      <c r="D776">
        <f t="shared" ca="1" si="60"/>
        <v>30.065550728889718</v>
      </c>
      <c r="E776">
        <f t="shared" ca="1" si="61"/>
        <v>1</v>
      </c>
      <c r="F776" s="84">
        <f t="shared" si="62"/>
        <v>34</v>
      </c>
      <c r="G776">
        <v>34</v>
      </c>
      <c r="H776">
        <v>1</v>
      </c>
      <c r="I776">
        <f t="shared" si="63"/>
        <v>1</v>
      </c>
      <c r="J776">
        <f t="shared" si="64"/>
        <v>3.3452999999999998E-4</v>
      </c>
    </row>
    <row r="777" spans="4:10">
      <c r="D777">
        <f t="shared" ca="1" si="60"/>
        <v>53.351164542565954</v>
      </c>
      <c r="E777">
        <f t="shared" ca="1" si="61"/>
        <v>1</v>
      </c>
      <c r="F777" s="84">
        <f t="shared" si="62"/>
        <v>46</v>
      </c>
      <c r="G777">
        <v>46</v>
      </c>
      <c r="H777">
        <v>1</v>
      </c>
      <c r="I777">
        <f t="shared" si="63"/>
        <v>1</v>
      </c>
      <c r="J777">
        <f t="shared" si="64"/>
        <v>8.7060000000000002E-4</v>
      </c>
    </row>
    <row r="778" spans="4:10">
      <c r="D778">
        <f t="shared" ca="1" si="60"/>
        <v>26.727790250588345</v>
      </c>
      <c r="E778">
        <f t="shared" ca="1" si="61"/>
        <v>0</v>
      </c>
      <c r="F778" s="84">
        <f t="shared" si="62"/>
        <v>29</v>
      </c>
      <c r="G778">
        <v>29</v>
      </c>
      <c r="H778">
        <v>0</v>
      </c>
      <c r="I778">
        <f t="shared" si="63"/>
        <v>1</v>
      </c>
      <c r="J778">
        <f t="shared" si="64"/>
        <v>5.2287999999999998E-4</v>
      </c>
    </row>
    <row r="779" spans="4:10">
      <c r="D779">
        <f t="shared" ca="1" si="60"/>
        <v>9.2851489054947507</v>
      </c>
      <c r="E779">
        <f t="shared" ca="1" si="61"/>
        <v>1</v>
      </c>
      <c r="F779" s="84">
        <f t="shared" si="62"/>
        <v>53</v>
      </c>
      <c r="G779">
        <v>53</v>
      </c>
      <c r="H779">
        <v>0</v>
      </c>
      <c r="I779">
        <f t="shared" si="63"/>
        <v>1</v>
      </c>
      <c r="J779">
        <f t="shared" si="64"/>
        <v>3.6235600000000001E-3</v>
      </c>
    </row>
    <row r="780" spans="4:10">
      <c r="D780">
        <f t="shared" ca="1" si="60"/>
        <v>51.938566611256427</v>
      </c>
      <c r="E780">
        <f t="shared" ca="1" si="61"/>
        <v>1</v>
      </c>
      <c r="F780" s="84">
        <f t="shared" si="62"/>
        <v>24</v>
      </c>
      <c r="G780">
        <v>24</v>
      </c>
      <c r="H780">
        <v>1</v>
      </c>
      <c r="I780">
        <f t="shared" si="63"/>
        <v>1</v>
      </c>
      <c r="J780">
        <f t="shared" si="64"/>
        <v>2.5754E-4</v>
      </c>
    </row>
    <row r="781" spans="4:10">
      <c r="D781">
        <f t="shared" ca="1" si="60"/>
        <v>28.173369095593106</v>
      </c>
      <c r="E781">
        <f t="shared" ca="1" si="61"/>
        <v>1</v>
      </c>
      <c r="F781" s="84">
        <f t="shared" si="62"/>
        <v>43</v>
      </c>
      <c r="G781">
        <v>43</v>
      </c>
      <c r="H781">
        <v>1</v>
      </c>
      <c r="I781">
        <f t="shared" si="63"/>
        <v>1</v>
      </c>
      <c r="J781">
        <f t="shared" si="64"/>
        <v>6.6288000000000002E-4</v>
      </c>
    </row>
    <row r="782" spans="4:10">
      <c r="D782">
        <f t="shared" ca="1" si="60"/>
        <v>12.497203617451618</v>
      </c>
      <c r="E782">
        <f t="shared" ca="1" si="61"/>
        <v>0</v>
      </c>
      <c r="F782" s="84">
        <f t="shared" si="62"/>
        <v>61</v>
      </c>
      <c r="G782">
        <v>61</v>
      </c>
      <c r="H782">
        <v>1</v>
      </c>
      <c r="I782">
        <f t="shared" si="63"/>
        <v>1</v>
      </c>
      <c r="J782">
        <f t="shared" si="64"/>
        <v>3.2876200000000002E-3</v>
      </c>
    </row>
    <row r="783" spans="4:10">
      <c r="D783">
        <f t="shared" ca="1" si="60"/>
        <v>69.548033356444847</v>
      </c>
      <c r="E783">
        <f t="shared" ca="1" si="61"/>
        <v>1</v>
      </c>
      <c r="F783" s="84">
        <f t="shared" si="62"/>
        <v>39</v>
      </c>
      <c r="G783">
        <v>39</v>
      </c>
      <c r="H783">
        <v>1</v>
      </c>
      <c r="I783">
        <f t="shared" si="63"/>
        <v>1</v>
      </c>
      <c r="J783">
        <f t="shared" si="64"/>
        <v>4.8622999999999998E-4</v>
      </c>
    </row>
    <row r="784" spans="4:10">
      <c r="D784">
        <f t="shared" ca="1" si="60"/>
        <v>62.046190935050824</v>
      </c>
      <c r="E784">
        <f t="shared" ca="1" si="61"/>
        <v>0</v>
      </c>
      <c r="F784" s="84">
        <f t="shared" si="62"/>
        <v>83</v>
      </c>
      <c r="G784">
        <v>83</v>
      </c>
      <c r="H784">
        <v>0</v>
      </c>
      <c r="I784">
        <f t="shared" si="63"/>
        <v>1</v>
      </c>
      <c r="J784">
        <f t="shared" si="64"/>
        <v>5.7831880000000002E-2</v>
      </c>
    </row>
    <row r="785" spans="4:10">
      <c r="D785">
        <f t="shared" ca="1" si="60"/>
        <v>59.442588776739761</v>
      </c>
      <c r="E785">
        <f t="shared" ca="1" si="61"/>
        <v>1</v>
      </c>
      <c r="F785" s="84">
        <f t="shared" si="62"/>
        <v>48</v>
      </c>
      <c r="G785">
        <v>48</v>
      </c>
      <c r="H785">
        <v>1</v>
      </c>
      <c r="I785">
        <f t="shared" si="63"/>
        <v>1</v>
      </c>
      <c r="J785">
        <f t="shared" si="64"/>
        <v>1.0691400000000001E-3</v>
      </c>
    </row>
    <row r="786" spans="4:10">
      <c r="D786">
        <f t="shared" ca="1" si="60"/>
        <v>81.372089442682352</v>
      </c>
      <c r="E786">
        <f t="shared" ca="1" si="61"/>
        <v>0</v>
      </c>
      <c r="F786" s="84">
        <f t="shared" si="62"/>
        <v>57</v>
      </c>
      <c r="G786">
        <v>57</v>
      </c>
      <c r="H786">
        <v>0</v>
      </c>
      <c r="I786">
        <f t="shared" si="63"/>
        <v>1</v>
      </c>
      <c r="J786">
        <f t="shared" si="64"/>
        <v>4.8062900000000004E-3</v>
      </c>
    </row>
    <row r="787" spans="4:10">
      <c r="D787">
        <f t="shared" ca="1" si="60"/>
        <v>50.662074706790577</v>
      </c>
      <c r="E787">
        <f t="shared" ca="1" si="61"/>
        <v>0</v>
      </c>
      <c r="F787" s="84">
        <f t="shared" si="62"/>
        <v>48</v>
      </c>
      <c r="G787">
        <v>48</v>
      </c>
      <c r="H787">
        <v>1</v>
      </c>
      <c r="I787">
        <f t="shared" si="63"/>
        <v>1</v>
      </c>
      <c r="J787">
        <f t="shared" si="64"/>
        <v>1.0691400000000001E-3</v>
      </c>
    </row>
    <row r="788" spans="4:10">
      <c r="D788">
        <f t="shared" ca="1" si="60"/>
        <v>32.728987937692729</v>
      </c>
      <c r="E788">
        <f t="shared" ca="1" si="61"/>
        <v>1</v>
      </c>
      <c r="F788" s="84">
        <f t="shared" si="62"/>
        <v>51</v>
      </c>
      <c r="G788">
        <v>51</v>
      </c>
      <c r="H788">
        <v>1</v>
      </c>
      <c r="I788">
        <f t="shared" si="63"/>
        <v>1</v>
      </c>
      <c r="J788">
        <f t="shared" si="64"/>
        <v>1.4570900000000001E-3</v>
      </c>
    </row>
    <row r="789" spans="4:10">
      <c r="D789">
        <f t="shared" ca="1" si="60"/>
        <v>26.267067900340166</v>
      </c>
      <c r="E789">
        <f t="shared" ca="1" si="61"/>
        <v>1</v>
      </c>
      <c r="F789" s="84">
        <f t="shared" si="62"/>
        <v>54</v>
      </c>
      <c r="G789">
        <v>54</v>
      </c>
      <c r="H789">
        <v>1</v>
      </c>
      <c r="I789">
        <f t="shared" si="63"/>
        <v>1</v>
      </c>
      <c r="J789">
        <f t="shared" si="64"/>
        <v>1.9186400000000001E-3</v>
      </c>
    </row>
    <row r="790" spans="4:10">
      <c r="D790">
        <f t="shared" ca="1" si="60"/>
        <v>62.908336345866616</v>
      </c>
      <c r="E790">
        <f t="shared" ca="1" si="61"/>
        <v>1</v>
      </c>
      <c r="F790" s="84">
        <f t="shared" si="62"/>
        <v>23</v>
      </c>
      <c r="G790">
        <v>23</v>
      </c>
      <c r="H790">
        <v>1</v>
      </c>
      <c r="I790">
        <f t="shared" si="63"/>
        <v>1</v>
      </c>
      <c r="J790">
        <f t="shared" si="64"/>
        <v>2.3068000000000001E-4</v>
      </c>
    </row>
    <row r="791" spans="4:10">
      <c r="D791">
        <f t="shared" ca="1" si="60"/>
        <v>70.364497452396904</v>
      </c>
      <c r="E791">
        <f t="shared" ca="1" si="61"/>
        <v>0</v>
      </c>
      <c r="F791" s="84">
        <f t="shared" si="62"/>
        <v>39</v>
      </c>
      <c r="G791">
        <v>39</v>
      </c>
      <c r="H791">
        <v>1</v>
      </c>
      <c r="I791">
        <f t="shared" si="63"/>
        <v>1</v>
      </c>
      <c r="J791">
        <f t="shared" si="64"/>
        <v>4.8622999999999998E-4</v>
      </c>
    </row>
    <row r="792" spans="4:10">
      <c r="D792">
        <f t="shared" ca="1" si="60"/>
        <v>95.378379693594752</v>
      </c>
      <c r="E792">
        <f t="shared" ca="1" si="61"/>
        <v>1</v>
      </c>
      <c r="F792" s="84">
        <f t="shared" si="62"/>
        <v>70</v>
      </c>
      <c r="G792">
        <v>70</v>
      </c>
      <c r="H792">
        <v>1</v>
      </c>
      <c r="I792">
        <f t="shared" si="63"/>
        <v>1</v>
      </c>
      <c r="J792">
        <f t="shared" si="64"/>
        <v>6.7203999999999996E-3</v>
      </c>
    </row>
    <row r="793" spans="4:10">
      <c r="D793">
        <f t="shared" ca="1" si="60"/>
        <v>61.473656668841983</v>
      </c>
      <c r="E793">
        <f t="shared" ca="1" si="61"/>
        <v>0</v>
      </c>
      <c r="F793" s="84">
        <f t="shared" si="62"/>
        <v>22</v>
      </c>
      <c r="G793">
        <v>22</v>
      </c>
      <c r="H793">
        <v>1</v>
      </c>
      <c r="I793">
        <f t="shared" si="63"/>
        <v>1</v>
      </c>
      <c r="J793">
        <f t="shared" si="64"/>
        <v>2.0557E-4</v>
      </c>
    </row>
    <row r="794" spans="4:10">
      <c r="D794">
        <f t="shared" ca="1" si="60"/>
        <v>44.552955477824881</v>
      </c>
      <c r="E794">
        <f t="shared" ca="1" si="61"/>
        <v>1</v>
      </c>
      <c r="F794" s="84">
        <f t="shared" si="62"/>
        <v>55</v>
      </c>
      <c r="G794">
        <v>55</v>
      </c>
      <c r="H794">
        <v>1</v>
      </c>
      <c r="I794">
        <f t="shared" si="63"/>
        <v>1</v>
      </c>
      <c r="J794">
        <f t="shared" si="64"/>
        <v>2.0857200000000001E-3</v>
      </c>
    </row>
    <row r="795" spans="4:10">
      <c r="D795">
        <f t="shared" ca="1" si="60"/>
        <v>19.353799473591597</v>
      </c>
      <c r="E795">
        <f t="shared" ca="1" si="61"/>
        <v>1</v>
      </c>
      <c r="F795" s="84">
        <f t="shared" si="62"/>
        <v>49</v>
      </c>
      <c r="G795">
        <v>49</v>
      </c>
      <c r="H795">
        <v>1</v>
      </c>
      <c r="I795">
        <f t="shared" si="63"/>
        <v>1</v>
      </c>
      <c r="J795">
        <f t="shared" si="64"/>
        <v>1.1877400000000001E-3</v>
      </c>
    </row>
    <row r="796" spans="4:10">
      <c r="D796">
        <f t="shared" ca="1" si="60"/>
        <v>67.15619082049497</v>
      </c>
      <c r="E796">
        <f t="shared" ca="1" si="61"/>
        <v>0</v>
      </c>
      <c r="F796" s="84">
        <f t="shared" si="62"/>
        <v>61</v>
      </c>
      <c r="G796">
        <v>61</v>
      </c>
      <c r="H796">
        <v>1</v>
      </c>
      <c r="I796">
        <f t="shared" si="63"/>
        <v>1</v>
      </c>
      <c r="J796">
        <f t="shared" si="64"/>
        <v>3.2876200000000002E-3</v>
      </c>
    </row>
    <row r="797" spans="4:10">
      <c r="D797">
        <f t="shared" ca="1" si="60"/>
        <v>28.039984381153957</v>
      </c>
      <c r="E797">
        <f t="shared" ca="1" si="61"/>
        <v>1</v>
      </c>
      <c r="F797" s="84">
        <f t="shared" si="62"/>
        <v>67</v>
      </c>
      <c r="G797">
        <v>67</v>
      </c>
      <c r="H797">
        <v>0</v>
      </c>
      <c r="I797">
        <f t="shared" si="63"/>
        <v>1</v>
      </c>
      <c r="J797">
        <f t="shared" si="64"/>
        <v>1.10014E-2</v>
      </c>
    </row>
    <row r="798" spans="4:10">
      <c r="D798">
        <f t="shared" ca="1" si="60"/>
        <v>56.275189711833121</v>
      </c>
      <c r="E798">
        <f t="shared" ca="1" si="61"/>
        <v>1</v>
      </c>
      <c r="F798" s="84">
        <f t="shared" si="62"/>
        <v>55</v>
      </c>
      <c r="G798">
        <v>55</v>
      </c>
      <c r="H798">
        <v>1</v>
      </c>
      <c r="I798">
        <f t="shared" si="63"/>
        <v>1</v>
      </c>
      <c r="J798">
        <f t="shared" si="64"/>
        <v>2.0857200000000001E-3</v>
      </c>
    </row>
    <row r="799" spans="4:10">
      <c r="D799">
        <f t="shared" ca="1" si="60"/>
        <v>65.849710131586718</v>
      </c>
      <c r="E799">
        <f t="shared" ca="1" si="61"/>
        <v>1</v>
      </c>
      <c r="F799" s="84">
        <f t="shared" si="62"/>
        <v>87</v>
      </c>
      <c r="G799">
        <v>87</v>
      </c>
      <c r="H799">
        <v>1</v>
      </c>
      <c r="I799">
        <f t="shared" si="63"/>
        <v>1</v>
      </c>
      <c r="J799">
        <f t="shared" si="64"/>
        <v>5.6218829999999997E-2</v>
      </c>
    </row>
    <row r="800" spans="4:10">
      <c r="D800">
        <f t="shared" ca="1" si="60"/>
        <v>40.361091381192558</v>
      </c>
      <c r="E800">
        <f t="shared" ca="1" si="61"/>
        <v>1</v>
      </c>
      <c r="F800" s="84">
        <f t="shared" si="62"/>
        <v>83</v>
      </c>
      <c r="G800">
        <v>83</v>
      </c>
      <c r="H800">
        <v>0</v>
      </c>
      <c r="I800">
        <f t="shared" si="63"/>
        <v>1</v>
      </c>
      <c r="J800">
        <f t="shared" si="64"/>
        <v>5.7831880000000002E-2</v>
      </c>
    </row>
    <row r="801" spans="4:10">
      <c r="D801">
        <f t="shared" ca="1" si="60"/>
        <v>1.1014488178401649</v>
      </c>
      <c r="E801">
        <f t="shared" ca="1" si="61"/>
        <v>1</v>
      </c>
      <c r="F801" s="84">
        <f t="shared" si="62"/>
        <v>57</v>
      </c>
      <c r="G801">
        <v>57</v>
      </c>
      <c r="H801">
        <v>1</v>
      </c>
      <c r="I801">
        <f t="shared" si="63"/>
        <v>1</v>
      </c>
      <c r="J801">
        <f t="shared" si="64"/>
        <v>2.4432899999999999E-3</v>
      </c>
    </row>
    <row r="802" spans="4:10">
      <c r="D802">
        <f t="shared" ca="1" si="60"/>
        <v>42.401493137789224</v>
      </c>
      <c r="E802">
        <f t="shared" ca="1" si="61"/>
        <v>0</v>
      </c>
      <c r="F802" s="84">
        <f t="shared" si="62"/>
        <v>47</v>
      </c>
      <c r="G802">
        <v>47</v>
      </c>
      <c r="H802">
        <v>1</v>
      </c>
      <c r="I802">
        <f t="shared" si="63"/>
        <v>1</v>
      </c>
      <c r="J802">
        <f t="shared" si="64"/>
        <v>9.6336999999999996E-4</v>
      </c>
    </row>
    <row r="803" spans="4:10">
      <c r="D803">
        <f t="shared" ca="1" si="60"/>
        <v>70.262459697679674</v>
      </c>
      <c r="E803">
        <f t="shared" ca="1" si="61"/>
        <v>0</v>
      </c>
      <c r="F803" s="84">
        <f t="shared" si="62"/>
        <v>13</v>
      </c>
      <c r="G803">
        <v>13</v>
      </c>
      <c r="H803">
        <v>1</v>
      </c>
      <c r="I803">
        <f t="shared" si="63"/>
        <v>0</v>
      </c>
      <c r="J803">
        <f t="shared" si="64"/>
        <v>1.2721999999999999E-4</v>
      </c>
    </row>
    <row r="804" spans="4:10">
      <c r="D804">
        <f t="shared" ca="1" si="60"/>
        <v>32.882277678112871</v>
      </c>
      <c r="E804">
        <f t="shared" ca="1" si="61"/>
        <v>1</v>
      </c>
      <c r="F804" s="84">
        <f t="shared" si="62"/>
        <v>33</v>
      </c>
      <c r="G804">
        <v>33</v>
      </c>
      <c r="H804">
        <v>1</v>
      </c>
      <c r="I804">
        <f t="shared" si="63"/>
        <v>1</v>
      </c>
      <c r="J804">
        <f t="shared" si="64"/>
        <v>3.1915999999999997E-4</v>
      </c>
    </row>
    <row r="805" spans="4:10">
      <c r="D805">
        <f t="shared" ca="1" si="60"/>
        <v>53.942698815899895</v>
      </c>
      <c r="E805">
        <f t="shared" ca="1" si="61"/>
        <v>1</v>
      </c>
      <c r="F805" s="84">
        <f t="shared" si="62"/>
        <v>9</v>
      </c>
      <c r="G805">
        <v>9</v>
      </c>
      <c r="H805">
        <v>0</v>
      </c>
      <c r="I805">
        <f t="shared" si="63"/>
        <v>0</v>
      </c>
      <c r="J805">
        <f t="shared" si="64"/>
        <v>8.2379999999999994E-5</v>
      </c>
    </row>
    <row r="806" spans="4:10">
      <c r="D806">
        <f t="shared" ca="1" si="60"/>
        <v>-8.4952690851997019</v>
      </c>
      <c r="E806">
        <f t="shared" ca="1" si="61"/>
        <v>0</v>
      </c>
      <c r="F806" s="84">
        <f t="shared" si="62"/>
        <v>57</v>
      </c>
      <c r="G806">
        <v>57</v>
      </c>
      <c r="H806">
        <v>1</v>
      </c>
      <c r="I806">
        <f t="shared" si="63"/>
        <v>1</v>
      </c>
      <c r="J806">
        <f t="shared" si="64"/>
        <v>2.4432899999999999E-3</v>
      </c>
    </row>
    <row r="807" spans="4:10">
      <c r="D807">
        <f t="shared" ca="1" si="60"/>
        <v>40.067758151704119</v>
      </c>
      <c r="E807">
        <f t="shared" ca="1" si="61"/>
        <v>0</v>
      </c>
      <c r="F807" s="84">
        <f t="shared" si="62"/>
        <v>10</v>
      </c>
      <c r="G807">
        <v>10</v>
      </c>
      <c r="H807">
        <v>1</v>
      </c>
      <c r="I807">
        <f t="shared" si="63"/>
        <v>0</v>
      </c>
      <c r="J807">
        <f t="shared" si="64"/>
        <v>1.0935E-4</v>
      </c>
    </row>
    <row r="808" spans="4:10">
      <c r="D808">
        <f t="shared" ca="1" si="60"/>
        <v>46.277097351845498</v>
      </c>
      <c r="E808">
        <f t="shared" ca="1" si="61"/>
        <v>1</v>
      </c>
      <c r="F808" s="84">
        <f t="shared" si="62"/>
        <v>17</v>
      </c>
      <c r="G808">
        <v>17</v>
      </c>
      <c r="H808">
        <v>0</v>
      </c>
      <c r="I808">
        <f t="shared" si="63"/>
        <v>0</v>
      </c>
      <c r="J808">
        <f t="shared" si="64"/>
        <v>3.0355999999999997E-4</v>
      </c>
    </row>
    <row r="809" spans="4:10">
      <c r="D809">
        <f t="shared" ca="1" si="60"/>
        <v>19.481222504242027</v>
      </c>
      <c r="E809">
        <f t="shared" ca="1" si="61"/>
        <v>1</v>
      </c>
      <c r="F809" s="84">
        <f t="shared" si="62"/>
        <v>38</v>
      </c>
      <c r="G809">
        <v>38</v>
      </c>
      <c r="H809">
        <v>1</v>
      </c>
      <c r="I809">
        <f t="shared" si="63"/>
        <v>1</v>
      </c>
      <c r="J809">
        <f t="shared" si="64"/>
        <v>4.4977E-4</v>
      </c>
    </row>
    <row r="810" spans="4:10">
      <c r="D810">
        <f t="shared" ca="1" si="60"/>
        <v>15.759134387873395</v>
      </c>
      <c r="E810">
        <f t="shared" ca="1" si="61"/>
        <v>1</v>
      </c>
      <c r="F810" s="84">
        <f t="shared" si="62"/>
        <v>42</v>
      </c>
      <c r="G810">
        <v>42</v>
      </c>
      <c r="H810">
        <v>1</v>
      </c>
      <c r="I810">
        <f t="shared" si="63"/>
        <v>1</v>
      </c>
      <c r="J810">
        <f t="shared" si="64"/>
        <v>6.1160999999999995E-4</v>
      </c>
    </row>
    <row r="811" spans="4:10">
      <c r="D811">
        <f t="shared" ca="1" si="60"/>
        <v>45.303854451987476</v>
      </c>
      <c r="E811">
        <f t="shared" ca="1" si="61"/>
        <v>0</v>
      </c>
      <c r="F811" s="84">
        <f t="shared" si="62"/>
        <v>60</v>
      </c>
      <c r="G811">
        <v>60</v>
      </c>
      <c r="H811">
        <v>1</v>
      </c>
      <c r="I811">
        <f t="shared" si="63"/>
        <v>1</v>
      </c>
      <c r="J811">
        <f t="shared" si="64"/>
        <v>3.06333E-3</v>
      </c>
    </row>
    <row r="812" spans="4:10">
      <c r="D812">
        <f t="shared" ca="1" si="60"/>
        <v>55.697418650110222</v>
      </c>
      <c r="E812">
        <f t="shared" ca="1" si="61"/>
        <v>1</v>
      </c>
      <c r="F812" s="84">
        <f t="shared" si="62"/>
        <v>83</v>
      </c>
      <c r="G812">
        <v>83</v>
      </c>
      <c r="H812">
        <v>0</v>
      </c>
      <c r="I812">
        <f t="shared" si="63"/>
        <v>1</v>
      </c>
      <c r="J812">
        <f t="shared" si="64"/>
        <v>5.7831880000000002E-2</v>
      </c>
    </row>
    <row r="813" spans="4:10">
      <c r="D813">
        <f t="shared" ca="1" si="60"/>
        <v>64.86120063202516</v>
      </c>
      <c r="E813">
        <f t="shared" ca="1" si="61"/>
        <v>0</v>
      </c>
      <c r="F813" s="84">
        <f t="shared" si="62"/>
        <v>21</v>
      </c>
      <c r="G813">
        <v>21</v>
      </c>
      <c r="H813">
        <v>0</v>
      </c>
      <c r="I813">
        <f t="shared" si="63"/>
        <v>1</v>
      </c>
      <c r="J813">
        <f t="shared" si="64"/>
        <v>3.0009999999999998E-4</v>
      </c>
    </row>
    <row r="814" spans="4:10">
      <c r="D814">
        <f t="shared" ca="1" si="60"/>
        <v>28.164068220281202</v>
      </c>
      <c r="E814">
        <f t="shared" ca="1" si="61"/>
        <v>1</v>
      </c>
      <c r="F814" s="84">
        <f t="shared" si="62"/>
        <v>46</v>
      </c>
      <c r="G814">
        <v>46</v>
      </c>
      <c r="H814">
        <v>1</v>
      </c>
      <c r="I814">
        <f t="shared" si="63"/>
        <v>1</v>
      </c>
      <c r="J814">
        <f t="shared" si="64"/>
        <v>8.7060000000000002E-4</v>
      </c>
    </row>
    <row r="815" spans="4:10">
      <c r="D815">
        <f t="shared" ca="1" si="60"/>
        <v>53.758774997506094</v>
      </c>
      <c r="E815">
        <f t="shared" ca="1" si="61"/>
        <v>1</v>
      </c>
      <c r="F815" s="84">
        <f t="shared" si="62"/>
        <v>60</v>
      </c>
      <c r="G815">
        <v>60</v>
      </c>
      <c r="H815">
        <v>1</v>
      </c>
      <c r="I815">
        <f t="shared" si="63"/>
        <v>1</v>
      </c>
      <c r="J815">
        <f t="shared" si="64"/>
        <v>3.06333E-3</v>
      </c>
    </row>
    <row r="816" spans="4:10">
      <c r="D816">
        <f t="shared" ca="1" si="60"/>
        <v>47.201920312148282</v>
      </c>
      <c r="E816">
        <f t="shared" ca="1" si="61"/>
        <v>0</v>
      </c>
      <c r="F816" s="84">
        <f t="shared" si="62"/>
        <v>58</v>
      </c>
      <c r="G816">
        <v>58</v>
      </c>
      <c r="H816">
        <v>1</v>
      </c>
      <c r="I816">
        <f t="shared" si="63"/>
        <v>1</v>
      </c>
      <c r="J816">
        <f t="shared" si="64"/>
        <v>2.63817E-3</v>
      </c>
    </row>
    <row r="817" spans="4:10">
      <c r="D817">
        <f t="shared" ca="1" si="60"/>
        <v>6.8676272691684304</v>
      </c>
      <c r="E817">
        <f t="shared" ca="1" si="61"/>
        <v>1</v>
      </c>
      <c r="F817" s="84">
        <f t="shared" si="62"/>
        <v>54</v>
      </c>
      <c r="G817">
        <v>54</v>
      </c>
      <c r="H817">
        <v>0</v>
      </c>
      <c r="I817">
        <f t="shared" si="63"/>
        <v>1</v>
      </c>
      <c r="J817">
        <f t="shared" si="64"/>
        <v>3.8724699999999998E-3</v>
      </c>
    </row>
    <row r="818" spans="4:10">
      <c r="D818">
        <f t="shared" ca="1" si="60"/>
        <v>65.57423158649317</v>
      </c>
      <c r="E818">
        <f t="shared" ca="1" si="61"/>
        <v>1</v>
      </c>
      <c r="F818" s="84">
        <f t="shared" si="62"/>
        <v>40</v>
      </c>
      <c r="G818">
        <v>40</v>
      </c>
      <c r="H818">
        <v>1</v>
      </c>
      <c r="I818">
        <f t="shared" si="63"/>
        <v>1</v>
      </c>
      <c r="J818">
        <f t="shared" si="64"/>
        <v>5.2483E-4</v>
      </c>
    </row>
    <row r="819" spans="4:10">
      <c r="D819">
        <f t="shared" ca="1" si="60"/>
        <v>42.291701824321372</v>
      </c>
      <c r="E819">
        <f t="shared" ca="1" si="61"/>
        <v>1</v>
      </c>
      <c r="F819" s="84">
        <f t="shared" si="62"/>
        <v>56</v>
      </c>
      <c r="G819">
        <v>56</v>
      </c>
      <c r="H819">
        <v>0</v>
      </c>
      <c r="I819">
        <f t="shared" si="63"/>
        <v>1</v>
      </c>
      <c r="J819">
        <f t="shared" si="64"/>
        <v>4.4530899999999998E-3</v>
      </c>
    </row>
    <row r="820" spans="4:10">
      <c r="D820">
        <f t="shared" ca="1" si="60"/>
        <v>58.399642489439969</v>
      </c>
      <c r="E820">
        <f t="shared" ca="1" si="61"/>
        <v>1</v>
      </c>
      <c r="F820" s="84">
        <f t="shared" si="62"/>
        <v>32</v>
      </c>
      <c r="G820">
        <v>32</v>
      </c>
      <c r="H820">
        <v>1</v>
      </c>
      <c r="I820">
        <f t="shared" si="63"/>
        <v>1</v>
      </c>
      <c r="J820">
        <f t="shared" si="64"/>
        <v>3.1137E-4</v>
      </c>
    </row>
    <row r="821" spans="4:10">
      <c r="D821">
        <f t="shared" ca="1" si="60"/>
        <v>38.894866213298599</v>
      </c>
      <c r="E821">
        <f t="shared" ca="1" si="61"/>
        <v>1</v>
      </c>
      <c r="F821" s="84">
        <f t="shared" si="62"/>
        <v>50</v>
      </c>
      <c r="G821">
        <v>50</v>
      </c>
      <c r="H821">
        <v>1</v>
      </c>
      <c r="I821">
        <f t="shared" si="63"/>
        <v>1</v>
      </c>
      <c r="J821">
        <f t="shared" si="64"/>
        <v>1.31766E-3</v>
      </c>
    </row>
    <row r="822" spans="4:10">
      <c r="D822">
        <f t="shared" ca="1" si="60"/>
        <v>37.573519230641722</v>
      </c>
      <c r="E822">
        <f t="shared" ca="1" si="61"/>
        <v>1</v>
      </c>
      <c r="F822" s="84">
        <f t="shared" si="62"/>
        <v>48</v>
      </c>
      <c r="G822">
        <v>48</v>
      </c>
      <c r="H822">
        <v>1</v>
      </c>
      <c r="I822">
        <f t="shared" si="63"/>
        <v>1</v>
      </c>
      <c r="J822">
        <f t="shared" si="64"/>
        <v>1.0691400000000001E-3</v>
      </c>
    </row>
    <row r="823" spans="4:10">
      <c r="D823">
        <f t="shared" ca="1" si="60"/>
        <v>63.117020640599392</v>
      </c>
      <c r="E823">
        <f t="shared" ca="1" si="61"/>
        <v>1</v>
      </c>
      <c r="F823" s="84">
        <f t="shared" si="62"/>
        <v>48</v>
      </c>
      <c r="G823">
        <v>48</v>
      </c>
      <c r="H823">
        <v>0</v>
      </c>
      <c r="I823">
        <f t="shared" si="63"/>
        <v>1</v>
      </c>
      <c r="J823">
        <f t="shared" si="64"/>
        <v>2.4474599999999998E-3</v>
      </c>
    </row>
    <row r="824" spans="4:10">
      <c r="D824">
        <f t="shared" ca="1" si="60"/>
        <v>51.244347043391919</v>
      </c>
      <c r="E824">
        <f t="shared" ca="1" si="61"/>
        <v>1</v>
      </c>
      <c r="F824" s="84">
        <f t="shared" si="62"/>
        <v>52</v>
      </c>
      <c r="G824">
        <v>52</v>
      </c>
      <c r="H824">
        <v>1</v>
      </c>
      <c r="I824">
        <f t="shared" si="63"/>
        <v>1</v>
      </c>
      <c r="J824">
        <f t="shared" si="64"/>
        <v>1.60396E-3</v>
      </c>
    </row>
    <row r="825" spans="4:10">
      <c r="D825">
        <f t="shared" ca="1" si="60"/>
        <v>50.06680715746117</v>
      </c>
      <c r="E825">
        <f t="shared" ca="1" si="61"/>
        <v>1</v>
      </c>
      <c r="F825" s="84">
        <f t="shared" si="62"/>
        <v>47</v>
      </c>
      <c r="G825">
        <v>47</v>
      </c>
      <c r="H825">
        <v>1</v>
      </c>
      <c r="I825">
        <f t="shared" si="63"/>
        <v>1</v>
      </c>
      <c r="J825">
        <f t="shared" si="64"/>
        <v>9.6336999999999996E-4</v>
      </c>
    </row>
    <row r="826" spans="4:10">
      <c r="D826">
        <f t="shared" ca="1" si="60"/>
        <v>63.852210968665375</v>
      </c>
      <c r="E826">
        <f t="shared" ca="1" si="61"/>
        <v>1</v>
      </c>
      <c r="F826" s="84">
        <f t="shared" si="62"/>
        <v>23</v>
      </c>
      <c r="G826">
        <v>23</v>
      </c>
      <c r="H826">
        <v>0</v>
      </c>
      <c r="I826">
        <f t="shared" si="63"/>
        <v>1</v>
      </c>
      <c r="J826">
        <f t="shared" si="64"/>
        <v>3.1492E-4</v>
      </c>
    </row>
    <row r="827" spans="4:10">
      <c r="D827">
        <f t="shared" ca="1" si="60"/>
        <v>57.77339355228365</v>
      </c>
      <c r="E827">
        <f t="shared" ca="1" si="61"/>
        <v>1</v>
      </c>
      <c r="F827" s="84">
        <f t="shared" si="62"/>
        <v>69</v>
      </c>
      <c r="G827">
        <v>69</v>
      </c>
      <c r="H827">
        <v>0</v>
      </c>
      <c r="I827">
        <f t="shared" si="63"/>
        <v>1</v>
      </c>
      <c r="J827">
        <f t="shared" si="64"/>
        <v>1.299902E-2</v>
      </c>
    </row>
    <row r="828" spans="4:10">
      <c r="D828">
        <f t="shared" ca="1" si="60"/>
        <v>17.74212227115736</v>
      </c>
      <c r="E828">
        <f t="shared" ca="1" si="61"/>
        <v>1</v>
      </c>
      <c r="F828" s="84">
        <f t="shared" si="62"/>
        <v>18</v>
      </c>
      <c r="G828">
        <v>18</v>
      </c>
      <c r="H828">
        <v>1</v>
      </c>
      <c r="I828">
        <f t="shared" si="63"/>
        <v>1</v>
      </c>
      <c r="J828">
        <f t="shared" si="64"/>
        <v>1.4616999999999999E-4</v>
      </c>
    </row>
    <row r="829" spans="4:10">
      <c r="D829">
        <f t="shared" ca="1" si="60"/>
        <v>14.403484408073624</v>
      </c>
      <c r="E829">
        <f t="shared" ca="1" si="61"/>
        <v>1</v>
      </c>
      <c r="F829" s="84">
        <f t="shared" si="62"/>
        <v>45</v>
      </c>
      <c r="G829">
        <v>45</v>
      </c>
      <c r="H829">
        <v>1</v>
      </c>
      <c r="I829">
        <f t="shared" si="63"/>
        <v>1</v>
      </c>
      <c r="J829">
        <f t="shared" si="64"/>
        <v>7.9022999999999995E-4</v>
      </c>
    </row>
    <row r="830" spans="4:10">
      <c r="D830">
        <f t="shared" ca="1" si="60"/>
        <v>15.307642333190262</v>
      </c>
      <c r="E830">
        <f t="shared" ca="1" si="61"/>
        <v>1</v>
      </c>
      <c r="F830" s="84">
        <f t="shared" si="62"/>
        <v>53</v>
      </c>
      <c r="G830">
        <v>53</v>
      </c>
      <c r="H830">
        <v>1</v>
      </c>
      <c r="I830">
        <f t="shared" si="63"/>
        <v>1</v>
      </c>
      <c r="J830">
        <f t="shared" si="64"/>
        <v>1.7577700000000001E-3</v>
      </c>
    </row>
    <row r="831" spans="4:10">
      <c r="D831">
        <f t="shared" ca="1" si="60"/>
        <v>59.169730565218124</v>
      </c>
      <c r="E831">
        <f t="shared" ca="1" si="61"/>
        <v>1</v>
      </c>
      <c r="F831" s="84">
        <f t="shared" si="62"/>
        <v>46</v>
      </c>
      <c r="G831">
        <v>46</v>
      </c>
      <c r="H831">
        <v>0</v>
      </c>
      <c r="I831">
        <f t="shared" si="63"/>
        <v>1</v>
      </c>
      <c r="J831">
        <f t="shared" si="64"/>
        <v>1.9912900000000002E-3</v>
      </c>
    </row>
    <row r="832" spans="4:10">
      <c r="D832">
        <f t="shared" ca="1" si="60"/>
        <v>39.996065010203637</v>
      </c>
      <c r="E832">
        <f t="shared" ca="1" si="61"/>
        <v>1</v>
      </c>
      <c r="F832" s="84">
        <f t="shared" si="62"/>
        <v>91</v>
      </c>
      <c r="G832">
        <v>91</v>
      </c>
      <c r="H832">
        <v>1</v>
      </c>
      <c r="I832">
        <f t="shared" si="63"/>
        <v>1</v>
      </c>
      <c r="J832">
        <f t="shared" si="64"/>
        <v>8.7847549999999996E-2</v>
      </c>
    </row>
    <row r="833" spans="4:10">
      <c r="D833">
        <f t="shared" ca="1" si="60"/>
        <v>70.720418062586816</v>
      </c>
      <c r="E833">
        <f t="shared" ca="1" si="61"/>
        <v>0</v>
      </c>
      <c r="F833" s="84">
        <f t="shared" si="62"/>
        <v>27</v>
      </c>
      <c r="G833">
        <v>27</v>
      </c>
      <c r="H833">
        <v>1</v>
      </c>
      <c r="I833">
        <f t="shared" si="63"/>
        <v>1</v>
      </c>
      <c r="J833">
        <f t="shared" si="64"/>
        <v>3.1334000000000001E-4</v>
      </c>
    </row>
    <row r="834" spans="4:10">
      <c r="D834">
        <f t="shared" ref="D834:D897" ca="1" si="65">NORMINV(RAND(), mean_age, sd_age)</f>
        <v>61.001935685084852</v>
      </c>
      <c r="E834">
        <f t="shared" ref="E834:E897" ca="1" si="66">_xlfn.BINOM.INV(1, prop_female, RAND())</f>
        <v>0</v>
      </c>
      <c r="F834" s="84">
        <f t="shared" ref="F834:F897" si="67">ROUND(G834,0)</f>
        <v>35</v>
      </c>
      <c r="G834">
        <v>35</v>
      </c>
      <c r="H834">
        <v>1</v>
      </c>
      <c r="I834">
        <f t="shared" ref="I834:I897" si="68">IF(G834&lt;18, 0, 1)</f>
        <v>1</v>
      </c>
      <c r="J834">
        <f t="shared" ref="J834:J897" si="69">IF(H834=0,VLOOKUP(G834,$M$2:$O$102,2,TRUE),VLOOKUP(G834,$M$2:$O$102,3,TRUE))</f>
        <v>3.5702999999999999E-4</v>
      </c>
    </row>
    <row r="835" spans="4:10">
      <c r="D835">
        <f t="shared" ca="1" si="65"/>
        <v>41.349819649263786</v>
      </c>
      <c r="E835">
        <f t="shared" ca="1" si="66"/>
        <v>1</v>
      </c>
      <c r="F835" s="84">
        <f t="shared" si="67"/>
        <v>65</v>
      </c>
      <c r="G835">
        <v>65</v>
      </c>
      <c r="H835">
        <v>1</v>
      </c>
      <c r="I835">
        <f t="shared" si="68"/>
        <v>1</v>
      </c>
      <c r="J835">
        <f t="shared" si="69"/>
        <v>4.3744200000000004E-3</v>
      </c>
    </row>
    <row r="836" spans="4:10">
      <c r="D836">
        <f t="shared" ca="1" si="65"/>
        <v>40.560911910208333</v>
      </c>
      <c r="E836">
        <f t="shared" ca="1" si="66"/>
        <v>0</v>
      </c>
      <c r="F836" s="84">
        <f t="shared" si="67"/>
        <v>62</v>
      </c>
      <c r="G836">
        <v>62</v>
      </c>
      <c r="H836">
        <v>0</v>
      </c>
      <c r="I836">
        <f t="shared" si="68"/>
        <v>1</v>
      </c>
      <c r="J836">
        <f t="shared" si="69"/>
        <v>7.3471500000000002E-3</v>
      </c>
    </row>
    <row r="837" spans="4:10">
      <c r="D837">
        <f t="shared" ca="1" si="65"/>
        <v>56.573934410736364</v>
      </c>
      <c r="E837">
        <f t="shared" ca="1" si="66"/>
        <v>1</v>
      </c>
      <c r="F837" s="84">
        <f t="shared" si="67"/>
        <v>58</v>
      </c>
      <c r="G837">
        <v>58</v>
      </c>
      <c r="H837">
        <v>1</v>
      </c>
      <c r="I837">
        <f t="shared" si="68"/>
        <v>1</v>
      </c>
      <c r="J837">
        <f t="shared" si="69"/>
        <v>2.63817E-3</v>
      </c>
    </row>
    <row r="838" spans="4:10">
      <c r="D838">
        <f t="shared" ca="1" si="65"/>
        <v>38.065972082636662</v>
      </c>
      <c r="E838">
        <f t="shared" ca="1" si="66"/>
        <v>1</v>
      </c>
      <c r="F838" s="84">
        <f t="shared" si="67"/>
        <v>43</v>
      </c>
      <c r="G838">
        <v>43</v>
      </c>
      <c r="H838">
        <v>1</v>
      </c>
      <c r="I838">
        <f t="shared" si="68"/>
        <v>1</v>
      </c>
      <c r="J838">
        <f t="shared" si="69"/>
        <v>6.6288000000000002E-4</v>
      </c>
    </row>
    <row r="839" spans="4:10">
      <c r="D839">
        <f t="shared" ca="1" si="65"/>
        <v>47.683159251044614</v>
      </c>
      <c r="E839">
        <f t="shared" ca="1" si="66"/>
        <v>1</v>
      </c>
      <c r="F839" s="84">
        <f t="shared" si="67"/>
        <v>39</v>
      </c>
      <c r="G839">
        <v>39</v>
      </c>
      <c r="H839">
        <v>1</v>
      </c>
      <c r="I839">
        <f t="shared" si="68"/>
        <v>1</v>
      </c>
      <c r="J839">
        <f t="shared" si="69"/>
        <v>4.8622999999999998E-4</v>
      </c>
    </row>
    <row r="840" spans="4:10">
      <c r="D840">
        <f t="shared" ca="1" si="65"/>
        <v>34.845456476920035</v>
      </c>
      <c r="E840">
        <f t="shared" ca="1" si="66"/>
        <v>1</v>
      </c>
      <c r="F840" s="84">
        <f t="shared" si="67"/>
        <v>49</v>
      </c>
      <c r="G840">
        <v>49</v>
      </c>
      <c r="H840">
        <v>1</v>
      </c>
      <c r="I840">
        <f t="shared" si="68"/>
        <v>1</v>
      </c>
      <c r="J840">
        <f t="shared" si="69"/>
        <v>1.1877400000000001E-3</v>
      </c>
    </row>
    <row r="841" spans="4:10">
      <c r="D841">
        <f t="shared" ca="1" si="65"/>
        <v>27.235064685342618</v>
      </c>
      <c r="E841">
        <f t="shared" ca="1" si="66"/>
        <v>0</v>
      </c>
      <c r="F841" s="84">
        <f t="shared" si="67"/>
        <v>43</v>
      </c>
      <c r="G841">
        <v>43</v>
      </c>
      <c r="H841">
        <v>1</v>
      </c>
      <c r="I841">
        <f t="shared" si="68"/>
        <v>1</v>
      </c>
      <c r="J841">
        <f t="shared" si="69"/>
        <v>6.6288000000000002E-4</v>
      </c>
    </row>
    <row r="842" spans="4:10">
      <c r="D842">
        <f t="shared" ca="1" si="65"/>
        <v>64.912470078532351</v>
      </c>
      <c r="E842">
        <f t="shared" ca="1" si="66"/>
        <v>1</v>
      </c>
      <c r="F842" s="84">
        <f t="shared" si="67"/>
        <v>43</v>
      </c>
      <c r="G842">
        <v>43</v>
      </c>
      <c r="H842">
        <v>1</v>
      </c>
      <c r="I842">
        <f t="shared" si="68"/>
        <v>1</v>
      </c>
      <c r="J842">
        <f t="shared" si="69"/>
        <v>6.6288000000000002E-4</v>
      </c>
    </row>
    <row r="843" spans="4:10">
      <c r="D843">
        <f t="shared" ca="1" si="65"/>
        <v>44.063161082225918</v>
      </c>
      <c r="E843">
        <f t="shared" ca="1" si="66"/>
        <v>1</v>
      </c>
      <c r="F843" s="84">
        <f t="shared" si="67"/>
        <v>63</v>
      </c>
      <c r="G843">
        <v>63</v>
      </c>
      <c r="H843">
        <v>0</v>
      </c>
      <c r="I843">
        <f t="shared" si="68"/>
        <v>1</v>
      </c>
      <c r="J843">
        <f t="shared" si="69"/>
        <v>7.9881299999999995E-3</v>
      </c>
    </row>
    <row r="844" spans="4:10">
      <c r="D844">
        <f t="shared" ca="1" si="65"/>
        <v>59.14653859754236</v>
      </c>
      <c r="E844">
        <f t="shared" ca="1" si="66"/>
        <v>1</v>
      </c>
      <c r="F844" s="84">
        <f t="shared" si="67"/>
        <v>23</v>
      </c>
      <c r="G844">
        <v>23</v>
      </c>
      <c r="H844">
        <v>1</v>
      </c>
      <c r="I844">
        <f t="shared" si="68"/>
        <v>1</v>
      </c>
      <c r="J844">
        <f t="shared" si="69"/>
        <v>2.3068000000000001E-4</v>
      </c>
    </row>
    <row r="845" spans="4:10">
      <c r="D845">
        <f t="shared" ca="1" si="65"/>
        <v>31.609995190198205</v>
      </c>
      <c r="E845">
        <f t="shared" ca="1" si="66"/>
        <v>1</v>
      </c>
      <c r="F845" s="84">
        <f t="shared" si="67"/>
        <v>59</v>
      </c>
      <c r="G845">
        <v>59</v>
      </c>
      <c r="H845">
        <v>1</v>
      </c>
      <c r="I845">
        <f t="shared" si="68"/>
        <v>1</v>
      </c>
      <c r="J845">
        <f t="shared" si="69"/>
        <v>2.84666E-3</v>
      </c>
    </row>
    <row r="846" spans="4:10">
      <c r="D846">
        <f t="shared" ca="1" si="65"/>
        <v>47.738205966107792</v>
      </c>
      <c r="E846">
        <f t="shared" ca="1" si="66"/>
        <v>1</v>
      </c>
      <c r="F846" s="84">
        <f t="shared" si="67"/>
        <v>30</v>
      </c>
      <c r="G846">
        <v>30</v>
      </c>
      <c r="H846">
        <v>0</v>
      </c>
      <c r="I846">
        <f t="shared" si="68"/>
        <v>1</v>
      </c>
      <c r="J846">
        <f t="shared" si="69"/>
        <v>5.5917E-4</v>
      </c>
    </row>
    <row r="847" spans="4:10">
      <c r="D847">
        <f t="shared" ca="1" si="65"/>
        <v>55.270756302418505</v>
      </c>
      <c r="E847">
        <f t="shared" ca="1" si="66"/>
        <v>1</v>
      </c>
      <c r="F847" s="84">
        <f t="shared" si="67"/>
        <v>66</v>
      </c>
      <c r="G847">
        <v>66</v>
      </c>
      <c r="H847">
        <v>1</v>
      </c>
      <c r="I847">
        <f t="shared" si="68"/>
        <v>1</v>
      </c>
      <c r="J847">
        <f t="shared" si="69"/>
        <v>4.7119800000000002E-3</v>
      </c>
    </row>
    <row r="848" spans="4:10">
      <c r="D848">
        <f t="shared" ca="1" si="65"/>
        <v>63.699529890722815</v>
      </c>
      <c r="E848">
        <f t="shared" ca="1" si="66"/>
        <v>1</v>
      </c>
      <c r="F848" s="84">
        <f t="shared" si="67"/>
        <v>58</v>
      </c>
      <c r="G848">
        <v>58</v>
      </c>
      <c r="H848">
        <v>1</v>
      </c>
      <c r="I848">
        <f t="shared" si="68"/>
        <v>1</v>
      </c>
      <c r="J848">
        <f t="shared" si="69"/>
        <v>2.63817E-3</v>
      </c>
    </row>
    <row r="849" spans="4:10">
      <c r="D849">
        <f t="shared" ca="1" si="65"/>
        <v>75.115143973368802</v>
      </c>
      <c r="E849">
        <f t="shared" ca="1" si="66"/>
        <v>0</v>
      </c>
      <c r="F849" s="84">
        <f t="shared" si="67"/>
        <v>22</v>
      </c>
      <c r="G849">
        <v>22</v>
      </c>
      <c r="H849">
        <v>1</v>
      </c>
      <c r="I849">
        <f t="shared" si="68"/>
        <v>1</v>
      </c>
      <c r="J849">
        <f t="shared" si="69"/>
        <v>2.0557E-4</v>
      </c>
    </row>
    <row r="850" spans="4:10">
      <c r="D850">
        <f t="shared" ca="1" si="65"/>
        <v>57.919868474138148</v>
      </c>
      <c r="E850">
        <f t="shared" ca="1" si="66"/>
        <v>1</v>
      </c>
      <c r="F850" s="84">
        <f t="shared" si="67"/>
        <v>46</v>
      </c>
      <c r="G850">
        <v>46</v>
      </c>
      <c r="H850">
        <v>0</v>
      </c>
      <c r="I850">
        <f t="shared" si="68"/>
        <v>1</v>
      </c>
      <c r="J850">
        <f t="shared" si="69"/>
        <v>1.9912900000000002E-3</v>
      </c>
    </row>
    <row r="851" spans="4:10">
      <c r="D851">
        <f t="shared" ca="1" si="65"/>
        <v>53.261366216893016</v>
      </c>
      <c r="E851">
        <f t="shared" ca="1" si="66"/>
        <v>1</v>
      </c>
      <c r="F851" s="84">
        <f t="shared" si="67"/>
        <v>11</v>
      </c>
      <c r="G851">
        <v>11</v>
      </c>
      <c r="H851">
        <v>0</v>
      </c>
      <c r="I851">
        <f t="shared" si="68"/>
        <v>0</v>
      </c>
      <c r="J851">
        <f t="shared" si="69"/>
        <v>1.1922E-4</v>
      </c>
    </row>
    <row r="852" spans="4:10">
      <c r="D852">
        <f t="shared" ca="1" si="65"/>
        <v>54.570816967939692</v>
      </c>
      <c r="E852">
        <f t="shared" ca="1" si="66"/>
        <v>0</v>
      </c>
      <c r="F852" s="84">
        <f t="shared" si="67"/>
        <v>68</v>
      </c>
      <c r="G852">
        <v>68</v>
      </c>
      <c r="H852">
        <v>1</v>
      </c>
      <c r="I852">
        <f t="shared" si="68"/>
        <v>1</v>
      </c>
      <c r="J852">
        <f t="shared" si="69"/>
        <v>5.5425099999999996E-3</v>
      </c>
    </row>
    <row r="853" spans="4:10">
      <c r="D853">
        <f t="shared" ca="1" si="65"/>
        <v>46.161851197490321</v>
      </c>
      <c r="E853">
        <f t="shared" ca="1" si="66"/>
        <v>1</v>
      </c>
      <c r="F853" s="84">
        <f t="shared" si="67"/>
        <v>49</v>
      </c>
      <c r="G853">
        <v>49</v>
      </c>
      <c r="H853">
        <v>0</v>
      </c>
      <c r="I853">
        <f t="shared" si="68"/>
        <v>1</v>
      </c>
      <c r="J853">
        <f t="shared" si="69"/>
        <v>2.6868700000000001E-3</v>
      </c>
    </row>
    <row r="854" spans="4:10">
      <c r="D854">
        <f t="shared" ca="1" si="65"/>
        <v>49.444634958532156</v>
      </c>
      <c r="E854">
        <f t="shared" ca="1" si="66"/>
        <v>1</v>
      </c>
      <c r="F854" s="84">
        <f t="shared" si="67"/>
        <v>43</v>
      </c>
      <c r="G854">
        <v>43</v>
      </c>
      <c r="H854">
        <v>1</v>
      </c>
      <c r="I854">
        <f t="shared" si="68"/>
        <v>1</v>
      </c>
      <c r="J854">
        <f t="shared" si="69"/>
        <v>6.6288000000000002E-4</v>
      </c>
    </row>
    <row r="855" spans="4:10">
      <c r="D855">
        <f t="shared" ca="1" si="65"/>
        <v>5.5642134265677186</v>
      </c>
      <c r="E855">
        <f t="shared" ca="1" si="66"/>
        <v>1</v>
      </c>
      <c r="F855" s="84">
        <f t="shared" si="67"/>
        <v>38</v>
      </c>
      <c r="G855">
        <v>38</v>
      </c>
      <c r="H855">
        <v>1</v>
      </c>
      <c r="I855">
        <f t="shared" si="68"/>
        <v>1</v>
      </c>
      <c r="J855">
        <f t="shared" si="69"/>
        <v>4.4977E-4</v>
      </c>
    </row>
    <row r="856" spans="4:10">
      <c r="D856">
        <f t="shared" ca="1" si="65"/>
        <v>51.947353517901391</v>
      </c>
      <c r="E856">
        <f t="shared" ca="1" si="66"/>
        <v>1</v>
      </c>
      <c r="F856" s="84">
        <f t="shared" si="67"/>
        <v>38</v>
      </c>
      <c r="G856">
        <v>38</v>
      </c>
      <c r="H856">
        <v>0</v>
      </c>
      <c r="I856">
        <f t="shared" si="68"/>
        <v>1</v>
      </c>
      <c r="J856">
        <f t="shared" si="69"/>
        <v>8.8648999999999998E-4</v>
      </c>
    </row>
    <row r="857" spans="4:10">
      <c r="D857">
        <f t="shared" ca="1" si="65"/>
        <v>40.279173090059096</v>
      </c>
      <c r="E857">
        <f t="shared" ca="1" si="66"/>
        <v>1</v>
      </c>
      <c r="F857" s="84">
        <f t="shared" si="67"/>
        <v>31</v>
      </c>
      <c r="G857">
        <v>31</v>
      </c>
      <c r="H857">
        <v>0</v>
      </c>
      <c r="I857">
        <f t="shared" si="68"/>
        <v>1</v>
      </c>
      <c r="J857">
        <f t="shared" si="69"/>
        <v>5.9367000000000003E-4</v>
      </c>
    </row>
    <row r="858" spans="4:10">
      <c r="D858">
        <f t="shared" ca="1" si="65"/>
        <v>51.230144711285263</v>
      </c>
      <c r="E858">
        <f t="shared" ca="1" si="66"/>
        <v>1</v>
      </c>
      <c r="F858" s="84">
        <f t="shared" si="67"/>
        <v>57</v>
      </c>
      <c r="G858">
        <v>57</v>
      </c>
      <c r="H858">
        <v>1</v>
      </c>
      <c r="I858">
        <f t="shared" si="68"/>
        <v>1</v>
      </c>
      <c r="J858">
        <f t="shared" si="69"/>
        <v>2.4432899999999999E-3</v>
      </c>
    </row>
    <row r="859" spans="4:10">
      <c r="D859">
        <f t="shared" ca="1" si="65"/>
        <v>39.435356223810238</v>
      </c>
      <c r="E859">
        <f t="shared" ca="1" si="66"/>
        <v>1</v>
      </c>
      <c r="F859" s="84">
        <f t="shared" si="67"/>
        <v>41</v>
      </c>
      <c r="G859">
        <v>41</v>
      </c>
      <c r="H859">
        <v>1</v>
      </c>
      <c r="I859">
        <f t="shared" si="68"/>
        <v>1</v>
      </c>
      <c r="J859">
        <f t="shared" si="69"/>
        <v>5.6607000000000001E-4</v>
      </c>
    </row>
    <row r="860" spans="4:10">
      <c r="D860">
        <f t="shared" ca="1" si="65"/>
        <v>61.021402398515832</v>
      </c>
      <c r="E860">
        <f t="shared" ca="1" si="66"/>
        <v>1</v>
      </c>
      <c r="F860" s="84">
        <f t="shared" si="67"/>
        <v>83</v>
      </c>
      <c r="G860">
        <v>83</v>
      </c>
      <c r="H860">
        <v>1</v>
      </c>
      <c r="I860">
        <f t="shared" si="68"/>
        <v>1</v>
      </c>
      <c r="J860">
        <f t="shared" si="69"/>
        <v>3.5487459999999998E-2</v>
      </c>
    </row>
    <row r="861" spans="4:10">
      <c r="D861">
        <f t="shared" ca="1" si="65"/>
        <v>68.75895032445743</v>
      </c>
      <c r="E861">
        <f t="shared" ca="1" si="66"/>
        <v>0</v>
      </c>
      <c r="F861" s="84">
        <f t="shared" si="67"/>
        <v>54</v>
      </c>
      <c r="G861">
        <v>54</v>
      </c>
      <c r="H861">
        <v>0</v>
      </c>
      <c r="I861">
        <f t="shared" si="68"/>
        <v>1</v>
      </c>
      <c r="J861">
        <f t="shared" si="69"/>
        <v>3.8724699999999998E-3</v>
      </c>
    </row>
    <row r="862" spans="4:10">
      <c r="D862">
        <f t="shared" ca="1" si="65"/>
        <v>49.716556438901044</v>
      </c>
      <c r="E862">
        <f t="shared" ca="1" si="66"/>
        <v>0</v>
      </c>
      <c r="F862" s="84">
        <f t="shared" si="67"/>
        <v>47</v>
      </c>
      <c r="G862">
        <v>47</v>
      </c>
      <c r="H862">
        <v>1</v>
      </c>
      <c r="I862">
        <f t="shared" si="68"/>
        <v>1</v>
      </c>
      <c r="J862">
        <f t="shared" si="69"/>
        <v>9.6336999999999996E-4</v>
      </c>
    </row>
    <row r="863" spans="4:10">
      <c r="D863">
        <f t="shared" ca="1" si="65"/>
        <v>49.68274325676412</v>
      </c>
      <c r="E863">
        <f t="shared" ca="1" si="66"/>
        <v>1</v>
      </c>
      <c r="F863" s="84">
        <f t="shared" si="67"/>
        <v>56</v>
      </c>
      <c r="G863">
        <v>56</v>
      </c>
      <c r="H863">
        <v>1</v>
      </c>
      <c r="I863">
        <f t="shared" si="68"/>
        <v>1</v>
      </c>
      <c r="J863">
        <f t="shared" si="69"/>
        <v>2.2598000000000002E-3</v>
      </c>
    </row>
    <row r="864" spans="4:10">
      <c r="D864">
        <f t="shared" ca="1" si="65"/>
        <v>48.605724133398823</v>
      </c>
      <c r="E864">
        <f t="shared" ca="1" si="66"/>
        <v>1</v>
      </c>
      <c r="F864" s="84">
        <f t="shared" si="67"/>
        <v>41</v>
      </c>
      <c r="G864">
        <v>41</v>
      </c>
      <c r="H864">
        <v>0</v>
      </c>
      <c r="I864">
        <f t="shared" si="68"/>
        <v>1</v>
      </c>
      <c r="J864">
        <f t="shared" si="69"/>
        <v>1.13831E-3</v>
      </c>
    </row>
    <row r="865" spans="4:10">
      <c r="D865">
        <f t="shared" ca="1" si="65"/>
        <v>41.558791243664544</v>
      </c>
      <c r="E865">
        <f t="shared" ca="1" si="66"/>
        <v>1</v>
      </c>
      <c r="F865" s="84">
        <f t="shared" si="67"/>
        <v>73</v>
      </c>
      <c r="G865">
        <v>73</v>
      </c>
      <c r="H865">
        <v>1</v>
      </c>
      <c r="I865">
        <f t="shared" si="68"/>
        <v>1</v>
      </c>
      <c r="J865">
        <f t="shared" si="69"/>
        <v>9.4021599999999997E-3</v>
      </c>
    </row>
    <row r="866" spans="4:10">
      <c r="D866">
        <f t="shared" ca="1" si="65"/>
        <v>45.374082626073388</v>
      </c>
      <c r="E866">
        <f t="shared" ca="1" si="66"/>
        <v>1</v>
      </c>
      <c r="F866" s="84">
        <f t="shared" si="67"/>
        <v>26</v>
      </c>
      <c r="G866">
        <v>26</v>
      </c>
      <c r="H866">
        <v>1</v>
      </c>
      <c r="I866">
        <f t="shared" si="68"/>
        <v>1</v>
      </c>
      <c r="J866">
        <f t="shared" si="69"/>
        <v>3.0111E-4</v>
      </c>
    </row>
    <row r="867" spans="4:10">
      <c r="D867">
        <f t="shared" ca="1" si="65"/>
        <v>34.770924313173893</v>
      </c>
      <c r="E867">
        <f t="shared" ca="1" si="66"/>
        <v>1</v>
      </c>
      <c r="F867" s="84">
        <f t="shared" si="67"/>
        <v>39</v>
      </c>
      <c r="G867">
        <v>39</v>
      </c>
      <c r="H867">
        <v>1</v>
      </c>
      <c r="I867">
        <f t="shared" si="68"/>
        <v>1</v>
      </c>
      <c r="J867">
        <f t="shared" si="69"/>
        <v>4.8622999999999998E-4</v>
      </c>
    </row>
    <row r="868" spans="4:10">
      <c r="D868">
        <f t="shared" ca="1" si="65"/>
        <v>81.503745187982645</v>
      </c>
      <c r="E868">
        <f t="shared" ca="1" si="66"/>
        <v>1</v>
      </c>
      <c r="F868" s="84">
        <f t="shared" si="67"/>
        <v>44</v>
      </c>
      <c r="G868">
        <v>44</v>
      </c>
      <c r="H868">
        <v>1</v>
      </c>
      <c r="I868">
        <f t="shared" si="68"/>
        <v>1</v>
      </c>
      <c r="J868">
        <f t="shared" si="69"/>
        <v>7.2154999999999995E-4</v>
      </c>
    </row>
    <row r="869" spans="4:10">
      <c r="D869">
        <f t="shared" ca="1" si="65"/>
        <v>10.420199441798125</v>
      </c>
      <c r="E869">
        <f t="shared" ca="1" si="66"/>
        <v>1</v>
      </c>
      <c r="F869" s="84">
        <f t="shared" si="67"/>
        <v>45</v>
      </c>
      <c r="G869">
        <v>45</v>
      </c>
      <c r="H869">
        <v>1</v>
      </c>
      <c r="I869">
        <f t="shared" si="68"/>
        <v>1</v>
      </c>
      <c r="J869">
        <f t="shared" si="69"/>
        <v>7.9022999999999995E-4</v>
      </c>
    </row>
    <row r="870" spans="4:10">
      <c r="D870">
        <f t="shared" ca="1" si="65"/>
        <v>45.831331210700363</v>
      </c>
      <c r="E870">
        <f t="shared" ca="1" si="66"/>
        <v>1</v>
      </c>
      <c r="F870" s="84">
        <f t="shared" si="67"/>
        <v>57</v>
      </c>
      <c r="G870">
        <v>57</v>
      </c>
      <c r="H870">
        <v>1</v>
      </c>
      <c r="I870">
        <f t="shared" si="68"/>
        <v>1</v>
      </c>
      <c r="J870">
        <f t="shared" si="69"/>
        <v>2.4432899999999999E-3</v>
      </c>
    </row>
    <row r="871" spans="4:10">
      <c r="D871">
        <f t="shared" ca="1" si="65"/>
        <v>81.450823789054795</v>
      </c>
      <c r="E871">
        <f t="shared" ca="1" si="66"/>
        <v>0</v>
      </c>
      <c r="F871" s="84">
        <f t="shared" si="67"/>
        <v>47</v>
      </c>
      <c r="G871">
        <v>47</v>
      </c>
      <c r="H871">
        <v>1</v>
      </c>
      <c r="I871">
        <f t="shared" si="68"/>
        <v>1</v>
      </c>
      <c r="J871">
        <f t="shared" si="69"/>
        <v>9.6336999999999996E-4</v>
      </c>
    </row>
    <row r="872" spans="4:10">
      <c r="D872">
        <f t="shared" ca="1" si="65"/>
        <v>43.322364819443436</v>
      </c>
      <c r="E872">
        <f t="shared" ca="1" si="66"/>
        <v>1</v>
      </c>
      <c r="F872" s="84">
        <f t="shared" si="67"/>
        <v>79</v>
      </c>
      <c r="G872">
        <v>79</v>
      </c>
      <c r="H872">
        <v>1</v>
      </c>
      <c r="I872">
        <f t="shared" si="68"/>
        <v>1</v>
      </c>
      <c r="J872">
        <f t="shared" si="69"/>
        <v>2.1235899999999999E-2</v>
      </c>
    </row>
    <row r="873" spans="4:10">
      <c r="D873">
        <f t="shared" ca="1" si="65"/>
        <v>61.829763980648885</v>
      </c>
      <c r="E873">
        <f t="shared" ca="1" si="66"/>
        <v>0</v>
      </c>
      <c r="F873" s="84">
        <f t="shared" si="67"/>
        <v>46</v>
      </c>
      <c r="G873">
        <v>46</v>
      </c>
      <c r="H873">
        <v>1</v>
      </c>
      <c r="I873">
        <f t="shared" si="68"/>
        <v>1</v>
      </c>
      <c r="J873">
        <f t="shared" si="69"/>
        <v>8.7060000000000002E-4</v>
      </c>
    </row>
    <row r="874" spans="4:10">
      <c r="D874">
        <f t="shared" ca="1" si="65"/>
        <v>29.616823705422814</v>
      </c>
      <c r="E874">
        <f t="shared" ca="1" si="66"/>
        <v>1</v>
      </c>
      <c r="F874" s="84">
        <f t="shared" si="67"/>
        <v>50</v>
      </c>
      <c r="G874">
        <v>50</v>
      </c>
      <c r="H874">
        <v>0</v>
      </c>
      <c r="I874">
        <f t="shared" si="68"/>
        <v>1</v>
      </c>
      <c r="J874">
        <f t="shared" si="69"/>
        <v>2.92384E-3</v>
      </c>
    </row>
    <row r="875" spans="4:10">
      <c r="D875">
        <f t="shared" ca="1" si="65"/>
        <v>61.840213675572436</v>
      </c>
      <c r="E875">
        <f t="shared" ca="1" si="66"/>
        <v>0</v>
      </c>
      <c r="F875" s="84">
        <f t="shared" si="67"/>
        <v>33</v>
      </c>
      <c r="G875">
        <v>33</v>
      </c>
      <c r="H875">
        <v>1</v>
      </c>
      <c r="I875">
        <f t="shared" si="68"/>
        <v>1</v>
      </c>
      <c r="J875">
        <f t="shared" si="69"/>
        <v>3.1915999999999997E-4</v>
      </c>
    </row>
    <row r="876" spans="4:10">
      <c r="D876">
        <f t="shared" ca="1" si="65"/>
        <v>24.815367512892859</v>
      </c>
      <c r="E876">
        <f t="shared" ca="1" si="66"/>
        <v>1</v>
      </c>
      <c r="F876" s="84">
        <f t="shared" si="67"/>
        <v>63</v>
      </c>
      <c r="G876">
        <v>63</v>
      </c>
      <c r="H876">
        <v>0</v>
      </c>
      <c r="I876">
        <f t="shared" si="68"/>
        <v>1</v>
      </c>
      <c r="J876">
        <f t="shared" si="69"/>
        <v>7.9881299999999995E-3</v>
      </c>
    </row>
    <row r="877" spans="4:10">
      <c r="D877">
        <f t="shared" ca="1" si="65"/>
        <v>51.715828331126055</v>
      </c>
      <c r="E877">
        <f t="shared" ca="1" si="66"/>
        <v>1</v>
      </c>
      <c r="F877" s="84">
        <f t="shared" si="67"/>
        <v>74</v>
      </c>
      <c r="G877">
        <v>74</v>
      </c>
      <c r="H877">
        <v>1</v>
      </c>
      <c r="I877">
        <f t="shared" si="68"/>
        <v>1</v>
      </c>
      <c r="J877">
        <f t="shared" si="69"/>
        <v>1.066982E-2</v>
      </c>
    </row>
    <row r="878" spans="4:10">
      <c r="D878">
        <f t="shared" ca="1" si="65"/>
        <v>44.377513531439078</v>
      </c>
      <c r="E878">
        <f t="shared" ca="1" si="66"/>
        <v>1</v>
      </c>
      <c r="F878" s="84">
        <f t="shared" si="67"/>
        <v>38</v>
      </c>
      <c r="G878">
        <v>38</v>
      </c>
      <c r="H878">
        <v>1</v>
      </c>
      <c r="I878">
        <f t="shared" si="68"/>
        <v>1</v>
      </c>
      <c r="J878">
        <f t="shared" si="69"/>
        <v>4.4977E-4</v>
      </c>
    </row>
    <row r="879" spans="4:10">
      <c r="D879">
        <f t="shared" ca="1" si="65"/>
        <v>50.148717201385161</v>
      </c>
      <c r="E879">
        <f t="shared" ca="1" si="66"/>
        <v>1</v>
      </c>
      <c r="F879" s="84">
        <f t="shared" si="67"/>
        <v>41</v>
      </c>
      <c r="G879">
        <v>41</v>
      </c>
      <c r="H879">
        <v>1</v>
      </c>
      <c r="I879">
        <f t="shared" si="68"/>
        <v>1</v>
      </c>
      <c r="J879">
        <f t="shared" si="69"/>
        <v>5.6607000000000001E-4</v>
      </c>
    </row>
    <row r="880" spans="4:10">
      <c r="D880">
        <f t="shared" ca="1" si="65"/>
        <v>61.893544867394752</v>
      </c>
      <c r="E880">
        <f t="shared" ca="1" si="66"/>
        <v>0</v>
      </c>
      <c r="F880" s="84">
        <f t="shared" si="67"/>
        <v>46</v>
      </c>
      <c r="G880">
        <v>46</v>
      </c>
      <c r="H880">
        <v>0</v>
      </c>
      <c r="I880">
        <f t="shared" si="68"/>
        <v>1</v>
      </c>
      <c r="J880">
        <f t="shared" si="69"/>
        <v>1.9912900000000002E-3</v>
      </c>
    </row>
    <row r="881" spans="4:10">
      <c r="D881">
        <f t="shared" ca="1" si="65"/>
        <v>58.473626276586756</v>
      </c>
      <c r="E881">
        <f t="shared" ca="1" si="66"/>
        <v>1</v>
      </c>
      <c r="F881" s="84">
        <f t="shared" si="67"/>
        <v>34</v>
      </c>
      <c r="G881">
        <v>34</v>
      </c>
      <c r="H881">
        <v>1</v>
      </c>
      <c r="I881">
        <f t="shared" si="68"/>
        <v>1</v>
      </c>
      <c r="J881">
        <f t="shared" si="69"/>
        <v>3.3452999999999998E-4</v>
      </c>
    </row>
    <row r="882" spans="4:10">
      <c r="D882">
        <f t="shared" ca="1" si="65"/>
        <v>62.952896334259343</v>
      </c>
      <c r="E882">
        <f t="shared" ca="1" si="66"/>
        <v>1</v>
      </c>
      <c r="F882" s="84">
        <f t="shared" si="67"/>
        <v>43</v>
      </c>
      <c r="G882">
        <v>43</v>
      </c>
      <c r="H882">
        <v>0</v>
      </c>
      <c r="I882">
        <f t="shared" si="68"/>
        <v>1</v>
      </c>
      <c r="J882">
        <f t="shared" si="69"/>
        <v>1.4137500000000001E-3</v>
      </c>
    </row>
    <row r="883" spans="4:10">
      <c r="D883">
        <f t="shared" ca="1" si="65"/>
        <v>67.71149949698011</v>
      </c>
      <c r="E883">
        <f t="shared" ca="1" si="66"/>
        <v>1</v>
      </c>
      <c r="F883" s="84">
        <f t="shared" si="67"/>
        <v>66</v>
      </c>
      <c r="G883">
        <v>66</v>
      </c>
      <c r="H883">
        <v>1</v>
      </c>
      <c r="I883">
        <f t="shared" si="68"/>
        <v>1</v>
      </c>
      <c r="J883">
        <f t="shared" si="69"/>
        <v>4.7119800000000002E-3</v>
      </c>
    </row>
    <row r="884" spans="4:10">
      <c r="D884">
        <f t="shared" ca="1" si="65"/>
        <v>40.910984833662319</v>
      </c>
      <c r="E884">
        <f t="shared" ca="1" si="66"/>
        <v>1</v>
      </c>
      <c r="F884" s="84">
        <f t="shared" si="67"/>
        <v>2</v>
      </c>
      <c r="G884">
        <v>2</v>
      </c>
      <c r="H884">
        <v>1</v>
      </c>
      <c r="I884">
        <f t="shared" si="68"/>
        <v>0</v>
      </c>
      <c r="J884">
        <f t="shared" si="69"/>
        <v>1.1612000000000001E-4</v>
      </c>
    </row>
    <row r="885" spans="4:10">
      <c r="D885">
        <f t="shared" ca="1" si="65"/>
        <v>73.577256877447496</v>
      </c>
      <c r="E885">
        <f t="shared" ca="1" si="66"/>
        <v>0</v>
      </c>
      <c r="F885" s="84">
        <f t="shared" si="67"/>
        <v>60</v>
      </c>
      <c r="G885">
        <v>60</v>
      </c>
      <c r="H885">
        <v>1</v>
      </c>
      <c r="I885">
        <f t="shared" si="68"/>
        <v>1</v>
      </c>
      <c r="J885">
        <f t="shared" si="69"/>
        <v>3.06333E-3</v>
      </c>
    </row>
    <row r="886" spans="4:10">
      <c r="D886">
        <f t="shared" ca="1" si="65"/>
        <v>75.279590625485895</v>
      </c>
      <c r="E886">
        <f t="shared" ca="1" si="66"/>
        <v>1</v>
      </c>
      <c r="F886" s="84">
        <f t="shared" si="67"/>
        <v>76</v>
      </c>
      <c r="G886">
        <v>76</v>
      </c>
      <c r="H886">
        <v>1</v>
      </c>
      <c r="I886">
        <f t="shared" si="68"/>
        <v>1</v>
      </c>
      <c r="J886">
        <f t="shared" si="69"/>
        <v>1.3984959999999999E-2</v>
      </c>
    </row>
    <row r="887" spans="4:10">
      <c r="D887">
        <f t="shared" ca="1" si="65"/>
        <v>53.727399302712385</v>
      </c>
      <c r="E887">
        <f t="shared" ca="1" si="66"/>
        <v>1</v>
      </c>
      <c r="F887" s="84">
        <f t="shared" si="67"/>
        <v>43</v>
      </c>
      <c r="G887">
        <v>43</v>
      </c>
      <c r="H887">
        <v>1</v>
      </c>
      <c r="I887">
        <f t="shared" si="68"/>
        <v>1</v>
      </c>
      <c r="J887">
        <f t="shared" si="69"/>
        <v>6.6288000000000002E-4</v>
      </c>
    </row>
    <row r="888" spans="4:10">
      <c r="D888">
        <f t="shared" ca="1" si="65"/>
        <v>63.048763637012641</v>
      </c>
      <c r="E888">
        <f t="shared" ca="1" si="66"/>
        <v>1</v>
      </c>
      <c r="F888" s="84">
        <f t="shared" si="67"/>
        <v>75</v>
      </c>
      <c r="G888">
        <v>75</v>
      </c>
      <c r="H888">
        <v>0</v>
      </c>
      <c r="I888">
        <f t="shared" si="68"/>
        <v>1</v>
      </c>
      <c r="J888">
        <f t="shared" si="69"/>
        <v>2.4910689999999999E-2</v>
      </c>
    </row>
    <row r="889" spans="4:10">
      <c r="D889">
        <f t="shared" ca="1" si="65"/>
        <v>32.826543786859077</v>
      </c>
      <c r="E889">
        <f t="shared" ca="1" si="66"/>
        <v>1</v>
      </c>
      <c r="F889" s="84">
        <f t="shared" si="67"/>
        <v>54</v>
      </c>
      <c r="G889">
        <v>54</v>
      </c>
      <c r="H889">
        <v>1</v>
      </c>
      <c r="I889">
        <f t="shared" si="68"/>
        <v>1</v>
      </c>
      <c r="J889">
        <f t="shared" si="69"/>
        <v>1.9186400000000001E-3</v>
      </c>
    </row>
    <row r="890" spans="4:10">
      <c r="D890">
        <f t="shared" ca="1" si="65"/>
        <v>47.317326969618513</v>
      </c>
      <c r="E890">
        <f t="shared" ca="1" si="66"/>
        <v>1</v>
      </c>
      <c r="F890" s="84">
        <f t="shared" si="67"/>
        <v>21</v>
      </c>
      <c r="G890">
        <v>21</v>
      </c>
      <c r="H890">
        <v>1</v>
      </c>
      <c r="I890">
        <f t="shared" si="68"/>
        <v>1</v>
      </c>
      <c r="J890">
        <f t="shared" si="69"/>
        <v>1.8384E-4</v>
      </c>
    </row>
    <row r="891" spans="4:10">
      <c r="D891">
        <f t="shared" ca="1" si="65"/>
        <v>35.38386439800329</v>
      </c>
      <c r="E891">
        <f t="shared" ca="1" si="66"/>
        <v>0</v>
      </c>
      <c r="F891" s="84">
        <f t="shared" si="67"/>
        <v>67</v>
      </c>
      <c r="G891">
        <v>67</v>
      </c>
      <c r="H891">
        <v>1</v>
      </c>
      <c r="I891">
        <f t="shared" si="68"/>
        <v>1</v>
      </c>
      <c r="J891">
        <f t="shared" si="69"/>
        <v>5.09392E-3</v>
      </c>
    </row>
    <row r="892" spans="4:10">
      <c r="D892">
        <f t="shared" ca="1" si="65"/>
        <v>59.779428222480043</v>
      </c>
      <c r="E892">
        <f t="shared" ca="1" si="66"/>
        <v>1</v>
      </c>
      <c r="F892" s="84">
        <f t="shared" si="67"/>
        <v>62</v>
      </c>
      <c r="G892">
        <v>62</v>
      </c>
      <c r="H892">
        <v>1</v>
      </c>
      <c r="I892">
        <f t="shared" si="68"/>
        <v>1</v>
      </c>
      <c r="J892">
        <f t="shared" si="69"/>
        <v>3.5238499999999998E-3</v>
      </c>
    </row>
    <row r="893" spans="4:10">
      <c r="D893">
        <f t="shared" ca="1" si="65"/>
        <v>11.195634264382669</v>
      </c>
      <c r="E893">
        <f t="shared" ca="1" si="66"/>
        <v>1</v>
      </c>
      <c r="F893" s="84">
        <f t="shared" si="67"/>
        <v>44</v>
      </c>
      <c r="G893">
        <v>44</v>
      </c>
      <c r="H893">
        <v>1</v>
      </c>
      <c r="I893">
        <f t="shared" si="68"/>
        <v>1</v>
      </c>
      <c r="J893">
        <f t="shared" si="69"/>
        <v>7.2154999999999995E-4</v>
      </c>
    </row>
    <row r="894" spans="4:10">
      <c r="D894">
        <f t="shared" ca="1" si="65"/>
        <v>30.677690429187422</v>
      </c>
      <c r="E894">
        <f t="shared" ca="1" si="66"/>
        <v>0</v>
      </c>
      <c r="F894" s="84">
        <f t="shared" si="67"/>
        <v>79</v>
      </c>
      <c r="G894">
        <v>79</v>
      </c>
      <c r="H894">
        <v>0</v>
      </c>
      <c r="I894">
        <f t="shared" si="68"/>
        <v>1</v>
      </c>
      <c r="J894">
        <f t="shared" si="69"/>
        <v>3.9169790000000003E-2</v>
      </c>
    </row>
    <row r="895" spans="4:10">
      <c r="D895">
        <f t="shared" ca="1" si="65"/>
        <v>50.063710029411148</v>
      </c>
      <c r="E895">
        <f t="shared" ca="1" si="66"/>
        <v>0</v>
      </c>
      <c r="F895" s="84">
        <f t="shared" si="67"/>
        <v>42</v>
      </c>
      <c r="G895">
        <v>42</v>
      </c>
      <c r="H895">
        <v>1</v>
      </c>
      <c r="I895">
        <f t="shared" si="68"/>
        <v>1</v>
      </c>
      <c r="J895">
        <f t="shared" si="69"/>
        <v>6.1160999999999995E-4</v>
      </c>
    </row>
    <row r="896" spans="4:10">
      <c r="D896">
        <f t="shared" ca="1" si="65"/>
        <v>30.039393471864791</v>
      </c>
      <c r="E896">
        <f t="shared" ca="1" si="66"/>
        <v>1</v>
      </c>
      <c r="F896" s="84">
        <f t="shared" si="67"/>
        <v>47</v>
      </c>
      <c r="G896">
        <v>47</v>
      </c>
      <c r="H896">
        <v>1</v>
      </c>
      <c r="I896">
        <f t="shared" si="68"/>
        <v>1</v>
      </c>
      <c r="J896">
        <f t="shared" si="69"/>
        <v>9.6336999999999996E-4</v>
      </c>
    </row>
    <row r="897" spans="4:10">
      <c r="D897">
        <f t="shared" ca="1" si="65"/>
        <v>57.969704469226642</v>
      </c>
      <c r="E897">
        <f t="shared" ca="1" si="66"/>
        <v>1</v>
      </c>
      <c r="F897" s="84">
        <f t="shared" si="67"/>
        <v>24</v>
      </c>
      <c r="G897">
        <v>24</v>
      </c>
      <c r="H897">
        <v>1</v>
      </c>
      <c r="I897">
        <f t="shared" si="68"/>
        <v>1</v>
      </c>
      <c r="J897">
        <f t="shared" si="69"/>
        <v>2.5754E-4</v>
      </c>
    </row>
    <row r="898" spans="4:10">
      <c r="D898">
        <f t="shared" ref="D898:D961" ca="1" si="70">NORMINV(RAND(), mean_age, sd_age)</f>
        <v>37.972173047695982</v>
      </c>
      <c r="E898">
        <f t="shared" ref="E898:E961" ca="1" si="71">_xlfn.BINOM.INV(1, prop_female, RAND())</f>
        <v>1</v>
      </c>
      <c r="F898" s="84">
        <f t="shared" ref="F898:F961" si="72">ROUND(G898,0)</f>
        <v>51</v>
      </c>
      <c r="G898">
        <v>51</v>
      </c>
      <c r="H898">
        <v>1</v>
      </c>
      <c r="I898">
        <f t="shared" ref="I898:I961" si="73">IF(G898&lt;18, 0, 1)</f>
        <v>1</v>
      </c>
      <c r="J898">
        <f t="shared" ref="J898:J961" si="74">IF(H898=0,VLOOKUP(G898,$M$2:$O$102,2,TRUE),VLOOKUP(G898,$M$2:$O$102,3,TRUE))</f>
        <v>1.4570900000000001E-3</v>
      </c>
    </row>
    <row r="899" spans="4:10">
      <c r="D899">
        <f t="shared" ca="1" si="70"/>
        <v>54.150666314621454</v>
      </c>
      <c r="E899">
        <f t="shared" ca="1" si="71"/>
        <v>0</v>
      </c>
      <c r="F899" s="84">
        <f t="shared" si="72"/>
        <v>67</v>
      </c>
      <c r="G899">
        <v>67</v>
      </c>
      <c r="H899">
        <v>1</v>
      </c>
      <c r="I899">
        <f t="shared" si="73"/>
        <v>1</v>
      </c>
      <c r="J899">
        <f t="shared" si="74"/>
        <v>5.09392E-3</v>
      </c>
    </row>
    <row r="900" spans="4:10">
      <c r="D900">
        <f t="shared" ca="1" si="70"/>
        <v>56.747820046277482</v>
      </c>
      <c r="E900">
        <f t="shared" ca="1" si="71"/>
        <v>1</v>
      </c>
      <c r="F900" s="84">
        <f t="shared" si="72"/>
        <v>61</v>
      </c>
      <c r="G900">
        <v>61</v>
      </c>
      <c r="H900">
        <v>1</v>
      </c>
      <c r="I900">
        <f t="shared" si="73"/>
        <v>1</v>
      </c>
      <c r="J900">
        <f t="shared" si="74"/>
        <v>3.2876200000000002E-3</v>
      </c>
    </row>
    <row r="901" spans="4:10">
      <c r="D901">
        <f t="shared" ca="1" si="70"/>
        <v>38.490436458086791</v>
      </c>
      <c r="E901">
        <f t="shared" ca="1" si="71"/>
        <v>1</v>
      </c>
      <c r="F901" s="84">
        <f t="shared" si="72"/>
        <v>32</v>
      </c>
      <c r="G901">
        <v>32</v>
      </c>
      <c r="H901">
        <v>1</v>
      </c>
      <c r="I901">
        <f t="shared" si="73"/>
        <v>1</v>
      </c>
      <c r="J901">
        <f t="shared" si="74"/>
        <v>3.1137E-4</v>
      </c>
    </row>
    <row r="902" spans="4:10">
      <c r="D902">
        <f t="shared" ca="1" si="70"/>
        <v>32.603663864742281</v>
      </c>
      <c r="E902">
        <f t="shared" ca="1" si="71"/>
        <v>1</v>
      </c>
      <c r="F902" s="84">
        <f t="shared" si="72"/>
        <v>76</v>
      </c>
      <c r="G902">
        <v>76</v>
      </c>
      <c r="H902">
        <v>1</v>
      </c>
      <c r="I902">
        <f t="shared" si="73"/>
        <v>1</v>
      </c>
      <c r="J902">
        <f t="shared" si="74"/>
        <v>1.3984959999999999E-2</v>
      </c>
    </row>
    <row r="903" spans="4:10">
      <c r="D903">
        <f t="shared" ca="1" si="70"/>
        <v>19.927677136053081</v>
      </c>
      <c r="E903">
        <f t="shared" ca="1" si="71"/>
        <v>1</v>
      </c>
      <c r="F903" s="84">
        <f t="shared" si="72"/>
        <v>44</v>
      </c>
      <c r="G903">
        <v>44</v>
      </c>
      <c r="H903">
        <v>0</v>
      </c>
      <c r="I903">
        <f t="shared" si="73"/>
        <v>1</v>
      </c>
      <c r="J903">
        <f t="shared" si="74"/>
        <v>1.5861E-3</v>
      </c>
    </row>
    <row r="904" spans="4:10">
      <c r="D904">
        <f t="shared" ca="1" si="70"/>
        <v>39.399133530617988</v>
      </c>
      <c r="E904">
        <f t="shared" ca="1" si="71"/>
        <v>0</v>
      </c>
      <c r="F904" s="84">
        <f t="shared" si="72"/>
        <v>68</v>
      </c>
      <c r="G904">
        <v>68</v>
      </c>
      <c r="H904">
        <v>1</v>
      </c>
      <c r="I904">
        <f t="shared" si="73"/>
        <v>1</v>
      </c>
      <c r="J904">
        <f t="shared" si="74"/>
        <v>5.5425099999999996E-3</v>
      </c>
    </row>
    <row r="905" spans="4:10">
      <c r="D905">
        <f t="shared" ca="1" si="70"/>
        <v>37.849157771286528</v>
      </c>
      <c r="E905">
        <f t="shared" ca="1" si="71"/>
        <v>0</v>
      </c>
      <c r="F905" s="84">
        <f t="shared" si="72"/>
        <v>59</v>
      </c>
      <c r="G905">
        <v>59</v>
      </c>
      <c r="H905">
        <v>1</v>
      </c>
      <c r="I905">
        <f t="shared" si="73"/>
        <v>1</v>
      </c>
      <c r="J905">
        <f t="shared" si="74"/>
        <v>2.84666E-3</v>
      </c>
    </row>
    <row r="906" spans="4:10">
      <c r="D906">
        <f t="shared" ca="1" si="70"/>
        <v>70.919413016161087</v>
      </c>
      <c r="E906">
        <f t="shared" ca="1" si="71"/>
        <v>0</v>
      </c>
      <c r="F906" s="84">
        <f t="shared" si="72"/>
        <v>32</v>
      </c>
      <c r="G906">
        <v>32</v>
      </c>
      <c r="H906">
        <v>1</v>
      </c>
      <c r="I906">
        <f t="shared" si="73"/>
        <v>1</v>
      </c>
      <c r="J906">
        <f t="shared" si="74"/>
        <v>3.1137E-4</v>
      </c>
    </row>
    <row r="907" spans="4:10">
      <c r="D907">
        <f t="shared" ca="1" si="70"/>
        <v>50.551399620699044</v>
      </c>
      <c r="E907">
        <f t="shared" ca="1" si="71"/>
        <v>1</v>
      </c>
      <c r="F907" s="84">
        <f t="shared" si="72"/>
        <v>10</v>
      </c>
      <c r="G907">
        <v>10</v>
      </c>
      <c r="H907">
        <v>1</v>
      </c>
      <c r="I907">
        <f t="shared" si="73"/>
        <v>0</v>
      </c>
      <c r="J907">
        <f t="shared" si="74"/>
        <v>1.0935E-4</v>
      </c>
    </row>
    <row r="908" spans="4:10">
      <c r="D908">
        <f t="shared" ca="1" si="70"/>
        <v>70.982827583314986</v>
      </c>
      <c r="E908">
        <f t="shared" ca="1" si="71"/>
        <v>1</v>
      </c>
      <c r="F908" s="84">
        <f t="shared" si="72"/>
        <v>56</v>
      </c>
      <c r="G908">
        <v>56</v>
      </c>
      <c r="H908">
        <v>1</v>
      </c>
      <c r="I908">
        <f t="shared" si="73"/>
        <v>1</v>
      </c>
      <c r="J908">
        <f t="shared" si="74"/>
        <v>2.2598000000000002E-3</v>
      </c>
    </row>
    <row r="909" spans="4:10">
      <c r="D909">
        <f t="shared" ca="1" si="70"/>
        <v>52.826971639317009</v>
      </c>
      <c r="E909">
        <f t="shared" ca="1" si="71"/>
        <v>1</v>
      </c>
      <c r="F909" s="84">
        <f t="shared" si="72"/>
        <v>46</v>
      </c>
      <c r="G909">
        <v>46</v>
      </c>
      <c r="H909">
        <v>1</v>
      </c>
      <c r="I909">
        <f t="shared" si="73"/>
        <v>1</v>
      </c>
      <c r="J909">
        <f t="shared" si="74"/>
        <v>8.7060000000000002E-4</v>
      </c>
    </row>
    <row r="910" spans="4:10">
      <c r="D910">
        <f t="shared" ca="1" si="70"/>
        <v>64.131318085767646</v>
      </c>
      <c r="E910">
        <f t="shared" ca="1" si="71"/>
        <v>1</v>
      </c>
      <c r="F910" s="84">
        <f t="shared" si="72"/>
        <v>28</v>
      </c>
      <c r="G910">
        <v>28</v>
      </c>
      <c r="H910">
        <v>0</v>
      </c>
      <c r="I910">
        <f t="shared" si="73"/>
        <v>1</v>
      </c>
      <c r="J910">
        <f t="shared" si="74"/>
        <v>4.8446999999999997E-4</v>
      </c>
    </row>
    <row r="911" spans="4:10">
      <c r="D911">
        <f t="shared" ca="1" si="70"/>
        <v>72.011512564152056</v>
      </c>
      <c r="E911">
        <f t="shared" ca="1" si="71"/>
        <v>1</v>
      </c>
      <c r="F911" s="84">
        <f t="shared" si="72"/>
        <v>37</v>
      </c>
      <c r="G911">
        <v>37</v>
      </c>
      <c r="H911">
        <v>1</v>
      </c>
      <c r="I911">
        <f t="shared" si="73"/>
        <v>1</v>
      </c>
      <c r="J911">
        <f t="shared" si="74"/>
        <v>4.1611000000000003E-4</v>
      </c>
    </row>
    <row r="912" spans="4:10">
      <c r="D912">
        <f t="shared" ca="1" si="70"/>
        <v>59.231720521212729</v>
      </c>
      <c r="E912">
        <f t="shared" ca="1" si="71"/>
        <v>1</v>
      </c>
      <c r="F912" s="84">
        <f t="shared" si="72"/>
        <v>30</v>
      </c>
      <c r="G912">
        <v>30</v>
      </c>
      <c r="H912">
        <v>1</v>
      </c>
      <c r="I912">
        <f t="shared" si="73"/>
        <v>1</v>
      </c>
      <c r="J912">
        <f t="shared" si="74"/>
        <v>3.1370999999999998E-4</v>
      </c>
    </row>
    <row r="913" spans="4:10">
      <c r="D913">
        <f t="shared" ca="1" si="70"/>
        <v>51.157723183198129</v>
      </c>
      <c r="E913">
        <f t="shared" ca="1" si="71"/>
        <v>0</v>
      </c>
      <c r="F913" s="84">
        <f t="shared" si="72"/>
        <v>42</v>
      </c>
      <c r="G913">
        <v>42</v>
      </c>
      <c r="H913">
        <v>1</v>
      </c>
      <c r="I913">
        <f t="shared" si="73"/>
        <v>1</v>
      </c>
      <c r="J913">
        <f t="shared" si="74"/>
        <v>6.1160999999999995E-4</v>
      </c>
    </row>
    <row r="914" spans="4:10">
      <c r="D914">
        <f t="shared" ca="1" si="70"/>
        <v>40.752440587058246</v>
      </c>
      <c r="E914">
        <f t="shared" ca="1" si="71"/>
        <v>1</v>
      </c>
      <c r="F914" s="84">
        <f t="shared" si="72"/>
        <v>37</v>
      </c>
      <c r="G914">
        <v>37</v>
      </c>
      <c r="H914">
        <v>1</v>
      </c>
      <c r="I914">
        <f t="shared" si="73"/>
        <v>1</v>
      </c>
      <c r="J914">
        <f t="shared" si="74"/>
        <v>4.1611000000000003E-4</v>
      </c>
    </row>
    <row r="915" spans="4:10">
      <c r="D915">
        <f t="shared" ca="1" si="70"/>
        <v>42.646507811054832</v>
      </c>
      <c r="E915">
        <f t="shared" ca="1" si="71"/>
        <v>1</v>
      </c>
      <c r="F915" s="84">
        <f t="shared" si="72"/>
        <v>38</v>
      </c>
      <c r="G915">
        <v>38</v>
      </c>
      <c r="H915">
        <v>0</v>
      </c>
      <c r="I915">
        <f t="shared" si="73"/>
        <v>1</v>
      </c>
      <c r="J915">
        <f t="shared" si="74"/>
        <v>8.8648999999999998E-4</v>
      </c>
    </row>
    <row r="916" spans="4:10">
      <c r="D916">
        <f t="shared" ca="1" si="70"/>
        <v>56.628276113052515</v>
      </c>
      <c r="E916">
        <f t="shared" ca="1" si="71"/>
        <v>1</v>
      </c>
      <c r="F916" s="84">
        <f t="shared" si="72"/>
        <v>57</v>
      </c>
      <c r="G916">
        <v>57</v>
      </c>
      <c r="H916">
        <v>1</v>
      </c>
      <c r="I916">
        <f t="shared" si="73"/>
        <v>1</v>
      </c>
      <c r="J916">
        <f t="shared" si="74"/>
        <v>2.4432899999999999E-3</v>
      </c>
    </row>
    <row r="917" spans="4:10">
      <c r="D917">
        <f t="shared" ca="1" si="70"/>
        <v>70.032131635850249</v>
      </c>
      <c r="E917">
        <f t="shared" ca="1" si="71"/>
        <v>0</v>
      </c>
      <c r="F917" s="84">
        <f t="shared" si="72"/>
        <v>53</v>
      </c>
      <c r="G917">
        <v>53</v>
      </c>
      <c r="H917">
        <v>1</v>
      </c>
      <c r="I917">
        <f t="shared" si="73"/>
        <v>1</v>
      </c>
      <c r="J917">
        <f t="shared" si="74"/>
        <v>1.7577700000000001E-3</v>
      </c>
    </row>
    <row r="918" spans="4:10">
      <c r="D918">
        <f t="shared" ca="1" si="70"/>
        <v>74.346715552528053</v>
      </c>
      <c r="E918">
        <f t="shared" ca="1" si="71"/>
        <v>1</v>
      </c>
      <c r="F918" s="84">
        <f t="shared" si="72"/>
        <v>28</v>
      </c>
      <c r="G918">
        <v>28</v>
      </c>
      <c r="H918">
        <v>1</v>
      </c>
      <c r="I918">
        <f t="shared" si="73"/>
        <v>1</v>
      </c>
      <c r="J918">
        <f t="shared" si="74"/>
        <v>3.1845000000000002E-4</v>
      </c>
    </row>
    <row r="919" spans="4:10">
      <c r="D919">
        <f t="shared" ca="1" si="70"/>
        <v>7.9005350881472864</v>
      </c>
      <c r="E919">
        <f t="shared" ca="1" si="71"/>
        <v>1</v>
      </c>
      <c r="F919" s="84">
        <f t="shared" si="72"/>
        <v>56</v>
      </c>
      <c r="G919">
        <v>56</v>
      </c>
      <c r="H919">
        <v>1</v>
      </c>
      <c r="I919">
        <f t="shared" si="73"/>
        <v>1</v>
      </c>
      <c r="J919">
        <f t="shared" si="74"/>
        <v>2.2598000000000002E-3</v>
      </c>
    </row>
    <row r="920" spans="4:10">
      <c r="D920">
        <f t="shared" ca="1" si="70"/>
        <v>51.166808316657239</v>
      </c>
      <c r="E920">
        <f t="shared" ca="1" si="71"/>
        <v>1</v>
      </c>
      <c r="F920" s="84">
        <f t="shared" si="72"/>
        <v>23</v>
      </c>
      <c r="G920">
        <v>23</v>
      </c>
      <c r="H920">
        <v>1</v>
      </c>
      <c r="I920">
        <f t="shared" si="73"/>
        <v>1</v>
      </c>
      <c r="J920">
        <f t="shared" si="74"/>
        <v>2.3068000000000001E-4</v>
      </c>
    </row>
    <row r="921" spans="4:10">
      <c r="D921">
        <f t="shared" ca="1" si="70"/>
        <v>35.246819108844349</v>
      </c>
      <c r="E921">
        <f t="shared" ca="1" si="71"/>
        <v>0</v>
      </c>
      <c r="F921" s="84">
        <f t="shared" si="72"/>
        <v>53</v>
      </c>
      <c r="G921">
        <v>53</v>
      </c>
      <c r="H921">
        <v>1</v>
      </c>
      <c r="I921">
        <f t="shared" si="73"/>
        <v>1</v>
      </c>
      <c r="J921">
        <f t="shared" si="74"/>
        <v>1.7577700000000001E-3</v>
      </c>
    </row>
    <row r="922" spans="4:10">
      <c r="D922">
        <f t="shared" ca="1" si="70"/>
        <v>17.734814201441196</v>
      </c>
      <c r="E922">
        <f t="shared" ca="1" si="71"/>
        <v>1</v>
      </c>
      <c r="F922" s="84">
        <f t="shared" si="72"/>
        <v>50</v>
      </c>
      <c r="G922">
        <v>50</v>
      </c>
      <c r="H922">
        <v>1</v>
      </c>
      <c r="I922">
        <f t="shared" si="73"/>
        <v>1</v>
      </c>
      <c r="J922">
        <f t="shared" si="74"/>
        <v>1.31766E-3</v>
      </c>
    </row>
    <row r="923" spans="4:10">
      <c r="D923">
        <f t="shared" ca="1" si="70"/>
        <v>19.736687292720049</v>
      </c>
      <c r="E923">
        <f t="shared" ca="1" si="71"/>
        <v>1</v>
      </c>
      <c r="F923" s="84">
        <f t="shared" si="72"/>
        <v>34</v>
      </c>
      <c r="G923">
        <v>34</v>
      </c>
      <c r="H923">
        <v>0</v>
      </c>
      <c r="I923">
        <f t="shared" si="73"/>
        <v>1</v>
      </c>
      <c r="J923">
        <f t="shared" si="74"/>
        <v>7.0282000000000005E-4</v>
      </c>
    </row>
    <row r="924" spans="4:10">
      <c r="D924">
        <f t="shared" ca="1" si="70"/>
        <v>66.211691556449026</v>
      </c>
      <c r="E924">
        <f t="shared" ca="1" si="71"/>
        <v>1</v>
      </c>
      <c r="F924" s="84">
        <f t="shared" si="72"/>
        <v>81</v>
      </c>
      <c r="G924">
        <v>81</v>
      </c>
      <c r="H924">
        <v>0</v>
      </c>
      <c r="I924">
        <f t="shared" si="73"/>
        <v>1</v>
      </c>
      <c r="J924">
        <f t="shared" si="74"/>
        <v>4.7982339999999998E-2</v>
      </c>
    </row>
    <row r="925" spans="4:10">
      <c r="D925">
        <f t="shared" ca="1" si="70"/>
        <v>58.683617641993145</v>
      </c>
      <c r="E925">
        <f t="shared" ca="1" si="71"/>
        <v>1</v>
      </c>
      <c r="F925" s="84">
        <f t="shared" si="72"/>
        <v>37</v>
      </c>
      <c r="G925">
        <v>37</v>
      </c>
      <c r="H925">
        <v>1</v>
      </c>
      <c r="I925">
        <f t="shared" si="73"/>
        <v>1</v>
      </c>
      <c r="J925">
        <f t="shared" si="74"/>
        <v>4.1611000000000003E-4</v>
      </c>
    </row>
    <row r="926" spans="4:10">
      <c r="D926">
        <f t="shared" ca="1" si="70"/>
        <v>70.880516509839197</v>
      </c>
      <c r="E926">
        <f t="shared" ca="1" si="71"/>
        <v>1</v>
      </c>
      <c r="F926" s="84">
        <f t="shared" si="72"/>
        <v>26</v>
      </c>
      <c r="G926">
        <v>26</v>
      </c>
      <c r="H926">
        <v>1</v>
      </c>
      <c r="I926">
        <f t="shared" si="73"/>
        <v>1</v>
      </c>
      <c r="J926">
        <f t="shared" si="74"/>
        <v>3.0111E-4</v>
      </c>
    </row>
    <row r="927" spans="4:10">
      <c r="D927">
        <f t="shared" ca="1" si="70"/>
        <v>41.826060638076974</v>
      </c>
      <c r="E927">
        <f t="shared" ca="1" si="71"/>
        <v>0</v>
      </c>
      <c r="F927" s="84">
        <f t="shared" si="72"/>
        <v>43</v>
      </c>
      <c r="G927">
        <v>43</v>
      </c>
      <c r="H927">
        <v>1</v>
      </c>
      <c r="I927">
        <f t="shared" si="73"/>
        <v>1</v>
      </c>
      <c r="J927">
        <f t="shared" si="74"/>
        <v>6.6288000000000002E-4</v>
      </c>
    </row>
    <row r="928" spans="4:10">
      <c r="D928">
        <f t="shared" ca="1" si="70"/>
        <v>47.103755808025305</v>
      </c>
      <c r="E928">
        <f t="shared" ca="1" si="71"/>
        <v>1</v>
      </c>
      <c r="F928" s="84">
        <f t="shared" si="72"/>
        <v>83</v>
      </c>
      <c r="G928">
        <v>83</v>
      </c>
      <c r="H928">
        <v>1</v>
      </c>
      <c r="I928">
        <f t="shared" si="73"/>
        <v>1</v>
      </c>
      <c r="J928">
        <f t="shared" si="74"/>
        <v>3.5487459999999998E-2</v>
      </c>
    </row>
    <row r="929" spans="4:10">
      <c r="D929">
        <f t="shared" ca="1" si="70"/>
        <v>38.613673136780726</v>
      </c>
      <c r="E929">
        <f t="shared" ca="1" si="71"/>
        <v>1</v>
      </c>
      <c r="F929" s="84">
        <f t="shared" si="72"/>
        <v>18</v>
      </c>
      <c r="G929">
        <v>18</v>
      </c>
      <c r="H929">
        <v>1</v>
      </c>
      <c r="I929">
        <f t="shared" si="73"/>
        <v>1</v>
      </c>
      <c r="J929">
        <f t="shared" si="74"/>
        <v>1.4616999999999999E-4</v>
      </c>
    </row>
    <row r="930" spans="4:10">
      <c r="D930">
        <f t="shared" ca="1" si="70"/>
        <v>64.620057017820514</v>
      </c>
      <c r="E930">
        <f t="shared" ca="1" si="71"/>
        <v>1</v>
      </c>
      <c r="F930" s="84">
        <f t="shared" si="72"/>
        <v>48</v>
      </c>
      <c r="G930">
        <v>48</v>
      </c>
      <c r="H930">
        <v>0</v>
      </c>
      <c r="I930">
        <f t="shared" si="73"/>
        <v>1</v>
      </c>
      <c r="J930">
        <f t="shared" si="74"/>
        <v>2.4474599999999998E-3</v>
      </c>
    </row>
    <row r="931" spans="4:10">
      <c r="D931">
        <f t="shared" ca="1" si="70"/>
        <v>69.519995791093962</v>
      </c>
      <c r="E931">
        <f t="shared" ca="1" si="71"/>
        <v>1</v>
      </c>
      <c r="F931" s="84">
        <f t="shared" si="72"/>
        <v>56</v>
      </c>
      <c r="G931">
        <v>56</v>
      </c>
      <c r="H931">
        <v>1</v>
      </c>
      <c r="I931">
        <f t="shared" si="73"/>
        <v>1</v>
      </c>
      <c r="J931">
        <f t="shared" si="74"/>
        <v>2.2598000000000002E-3</v>
      </c>
    </row>
    <row r="932" spans="4:10">
      <c r="D932">
        <f t="shared" ca="1" si="70"/>
        <v>56.126187537845325</v>
      </c>
      <c r="E932">
        <f t="shared" ca="1" si="71"/>
        <v>1</v>
      </c>
      <c r="F932" s="84">
        <f t="shared" si="72"/>
        <v>44</v>
      </c>
      <c r="G932">
        <v>44</v>
      </c>
      <c r="H932">
        <v>0</v>
      </c>
      <c r="I932">
        <f t="shared" si="73"/>
        <v>1</v>
      </c>
      <c r="J932">
        <f t="shared" si="74"/>
        <v>1.5861E-3</v>
      </c>
    </row>
    <row r="933" spans="4:10">
      <c r="D933">
        <f t="shared" ca="1" si="70"/>
        <v>46.161081750157869</v>
      </c>
      <c r="E933">
        <f t="shared" ca="1" si="71"/>
        <v>1</v>
      </c>
      <c r="F933" s="84">
        <f t="shared" si="72"/>
        <v>32</v>
      </c>
      <c r="G933">
        <v>32</v>
      </c>
      <c r="H933">
        <v>1</v>
      </c>
      <c r="I933">
        <f t="shared" si="73"/>
        <v>1</v>
      </c>
      <c r="J933">
        <f t="shared" si="74"/>
        <v>3.1137E-4</v>
      </c>
    </row>
    <row r="934" spans="4:10">
      <c r="D934">
        <f t="shared" ca="1" si="70"/>
        <v>19.705616273397727</v>
      </c>
      <c r="E934">
        <f t="shared" ca="1" si="71"/>
        <v>1</v>
      </c>
      <c r="F934" s="84">
        <f t="shared" si="72"/>
        <v>36</v>
      </c>
      <c r="G934">
        <v>36</v>
      </c>
      <c r="H934">
        <v>0</v>
      </c>
      <c r="I934">
        <f t="shared" si="73"/>
        <v>1</v>
      </c>
      <c r="J934">
        <f t="shared" si="74"/>
        <v>7.8529000000000001E-4</v>
      </c>
    </row>
    <row r="935" spans="4:10">
      <c r="D935">
        <f t="shared" ca="1" si="70"/>
        <v>68.805803471139171</v>
      </c>
      <c r="E935">
        <f t="shared" ca="1" si="71"/>
        <v>1</v>
      </c>
      <c r="F935" s="84">
        <f t="shared" si="72"/>
        <v>34</v>
      </c>
      <c r="G935">
        <v>34</v>
      </c>
      <c r="H935">
        <v>1</v>
      </c>
      <c r="I935">
        <f t="shared" si="73"/>
        <v>1</v>
      </c>
      <c r="J935">
        <f t="shared" si="74"/>
        <v>3.3452999999999998E-4</v>
      </c>
    </row>
    <row r="936" spans="4:10">
      <c r="D936">
        <f t="shared" ca="1" si="70"/>
        <v>31.481838585392232</v>
      </c>
      <c r="E936">
        <f t="shared" ca="1" si="71"/>
        <v>0</v>
      </c>
      <c r="F936" s="84">
        <f t="shared" si="72"/>
        <v>43</v>
      </c>
      <c r="G936">
        <v>43</v>
      </c>
      <c r="H936">
        <v>1</v>
      </c>
      <c r="I936">
        <f t="shared" si="73"/>
        <v>1</v>
      </c>
      <c r="J936">
        <f t="shared" si="74"/>
        <v>6.6288000000000002E-4</v>
      </c>
    </row>
    <row r="937" spans="4:10">
      <c r="D937">
        <f t="shared" ca="1" si="70"/>
        <v>22.585856345802963</v>
      </c>
      <c r="E937">
        <f t="shared" ca="1" si="71"/>
        <v>1</v>
      </c>
      <c r="F937" s="84">
        <f t="shared" si="72"/>
        <v>37</v>
      </c>
      <c r="G937">
        <v>37</v>
      </c>
      <c r="H937">
        <v>1</v>
      </c>
      <c r="I937">
        <f t="shared" si="73"/>
        <v>1</v>
      </c>
      <c r="J937">
        <f t="shared" si="74"/>
        <v>4.1611000000000003E-4</v>
      </c>
    </row>
    <row r="938" spans="4:10">
      <c r="D938">
        <f t="shared" ca="1" si="70"/>
        <v>29.800032188346808</v>
      </c>
      <c r="E938">
        <f t="shared" ca="1" si="71"/>
        <v>0</v>
      </c>
      <c r="F938" s="84">
        <f t="shared" si="72"/>
        <v>13</v>
      </c>
      <c r="G938">
        <v>13</v>
      </c>
      <c r="H938">
        <v>1</v>
      </c>
      <c r="I938">
        <f t="shared" si="73"/>
        <v>0</v>
      </c>
      <c r="J938">
        <f t="shared" si="74"/>
        <v>1.2721999999999999E-4</v>
      </c>
    </row>
    <row r="939" spans="4:10">
      <c r="D939">
        <f t="shared" ca="1" si="70"/>
        <v>40.239349147086713</v>
      </c>
      <c r="E939">
        <f t="shared" ca="1" si="71"/>
        <v>1</v>
      </c>
      <c r="F939" s="84">
        <f t="shared" si="72"/>
        <v>23</v>
      </c>
      <c r="G939">
        <v>23</v>
      </c>
      <c r="H939">
        <v>1</v>
      </c>
      <c r="I939">
        <f t="shared" si="73"/>
        <v>1</v>
      </c>
      <c r="J939">
        <f t="shared" si="74"/>
        <v>2.3068000000000001E-4</v>
      </c>
    </row>
    <row r="940" spans="4:10">
      <c r="D940">
        <f t="shared" ca="1" si="70"/>
        <v>23.888495860940594</v>
      </c>
      <c r="E940">
        <f t="shared" ca="1" si="71"/>
        <v>0</v>
      </c>
      <c r="F940" s="84">
        <f t="shared" si="72"/>
        <v>18</v>
      </c>
      <c r="G940">
        <v>18</v>
      </c>
      <c r="H940">
        <v>1</v>
      </c>
      <c r="I940">
        <f t="shared" si="73"/>
        <v>1</v>
      </c>
      <c r="J940">
        <f t="shared" si="74"/>
        <v>1.4616999999999999E-4</v>
      </c>
    </row>
    <row r="941" spans="4:10">
      <c r="D941">
        <f t="shared" ca="1" si="70"/>
        <v>54.086040024430687</v>
      </c>
      <c r="E941">
        <f t="shared" ca="1" si="71"/>
        <v>1</v>
      </c>
      <c r="F941" s="84">
        <f t="shared" si="72"/>
        <v>22</v>
      </c>
      <c r="G941">
        <v>22</v>
      </c>
      <c r="H941">
        <v>0</v>
      </c>
      <c r="I941">
        <f t="shared" si="73"/>
        <v>1</v>
      </c>
      <c r="J941">
        <f t="shared" si="74"/>
        <v>3.0280999999999998E-4</v>
      </c>
    </row>
    <row r="942" spans="4:10">
      <c r="D942">
        <f t="shared" ca="1" si="70"/>
        <v>59.375368308921466</v>
      </c>
      <c r="E942">
        <f t="shared" ca="1" si="71"/>
        <v>0</v>
      </c>
      <c r="F942" s="84">
        <f t="shared" si="72"/>
        <v>27</v>
      </c>
      <c r="G942">
        <v>27</v>
      </c>
      <c r="H942">
        <v>1</v>
      </c>
      <c r="I942">
        <f t="shared" si="73"/>
        <v>1</v>
      </c>
      <c r="J942">
        <f t="shared" si="74"/>
        <v>3.1334000000000001E-4</v>
      </c>
    </row>
    <row r="943" spans="4:10">
      <c r="D943">
        <f t="shared" ca="1" si="70"/>
        <v>40.340363970225965</v>
      </c>
      <c r="E943">
        <f t="shared" ca="1" si="71"/>
        <v>1</v>
      </c>
      <c r="F943" s="84">
        <f t="shared" si="72"/>
        <v>42</v>
      </c>
      <c r="G943">
        <v>42</v>
      </c>
      <c r="H943">
        <v>1</v>
      </c>
      <c r="I943">
        <f t="shared" si="73"/>
        <v>1</v>
      </c>
      <c r="J943">
        <f t="shared" si="74"/>
        <v>6.1160999999999995E-4</v>
      </c>
    </row>
    <row r="944" spans="4:10">
      <c r="D944">
        <f t="shared" ca="1" si="70"/>
        <v>39.676592269257313</v>
      </c>
      <c r="E944">
        <f t="shared" ca="1" si="71"/>
        <v>1</v>
      </c>
      <c r="F944" s="84">
        <f t="shared" si="72"/>
        <v>56</v>
      </c>
      <c r="G944">
        <v>56</v>
      </c>
      <c r="H944">
        <v>0</v>
      </c>
      <c r="I944">
        <f t="shared" si="73"/>
        <v>1</v>
      </c>
      <c r="J944">
        <f t="shared" si="74"/>
        <v>4.4530899999999998E-3</v>
      </c>
    </row>
    <row r="945" spans="4:10">
      <c r="D945">
        <f t="shared" ca="1" si="70"/>
        <v>33.611727391463035</v>
      </c>
      <c r="E945">
        <f t="shared" ca="1" si="71"/>
        <v>1</v>
      </c>
      <c r="F945" s="84">
        <f t="shared" si="72"/>
        <v>76</v>
      </c>
      <c r="G945">
        <v>76</v>
      </c>
      <c r="H945">
        <v>1</v>
      </c>
      <c r="I945">
        <f t="shared" si="73"/>
        <v>1</v>
      </c>
      <c r="J945">
        <f t="shared" si="74"/>
        <v>1.3984959999999999E-2</v>
      </c>
    </row>
    <row r="946" spans="4:10">
      <c r="D946">
        <f t="shared" ca="1" si="70"/>
        <v>49.119699781902852</v>
      </c>
      <c r="E946">
        <f t="shared" ca="1" si="71"/>
        <v>1</v>
      </c>
      <c r="F946" s="84">
        <f t="shared" si="72"/>
        <v>45</v>
      </c>
      <c r="G946">
        <v>45</v>
      </c>
      <c r="H946">
        <v>1</v>
      </c>
      <c r="I946">
        <f t="shared" si="73"/>
        <v>1</v>
      </c>
      <c r="J946">
        <f t="shared" si="74"/>
        <v>7.9022999999999995E-4</v>
      </c>
    </row>
    <row r="947" spans="4:10">
      <c r="D947">
        <f t="shared" ca="1" si="70"/>
        <v>38.602837375799545</v>
      </c>
      <c r="E947">
        <f t="shared" ca="1" si="71"/>
        <v>0</v>
      </c>
      <c r="F947" s="84">
        <f t="shared" si="72"/>
        <v>77</v>
      </c>
      <c r="G947">
        <v>77</v>
      </c>
      <c r="H947">
        <v>0</v>
      </c>
      <c r="I947">
        <f t="shared" si="73"/>
        <v>1</v>
      </c>
      <c r="J947">
        <f t="shared" si="74"/>
        <v>3.1448959999999998E-2</v>
      </c>
    </row>
    <row r="948" spans="4:10">
      <c r="D948">
        <f t="shared" ca="1" si="70"/>
        <v>50.479247376564651</v>
      </c>
      <c r="E948">
        <f t="shared" ca="1" si="71"/>
        <v>1</v>
      </c>
      <c r="F948" s="84">
        <f t="shared" si="72"/>
        <v>58</v>
      </c>
      <c r="G948">
        <v>58</v>
      </c>
      <c r="H948">
        <v>0</v>
      </c>
      <c r="I948">
        <f t="shared" si="73"/>
        <v>1</v>
      </c>
      <c r="J948">
        <f t="shared" si="74"/>
        <v>5.2128900000000004E-3</v>
      </c>
    </row>
    <row r="949" spans="4:10">
      <c r="D949">
        <f t="shared" ca="1" si="70"/>
        <v>44.255255855589489</v>
      </c>
      <c r="E949">
        <f t="shared" ca="1" si="71"/>
        <v>1</v>
      </c>
      <c r="F949" s="84">
        <f t="shared" si="72"/>
        <v>60</v>
      </c>
      <c r="G949">
        <v>60</v>
      </c>
      <c r="H949">
        <v>1</v>
      </c>
      <c r="I949">
        <f t="shared" si="73"/>
        <v>1</v>
      </c>
      <c r="J949">
        <f t="shared" si="74"/>
        <v>3.06333E-3</v>
      </c>
    </row>
    <row r="950" spans="4:10">
      <c r="D950">
        <f t="shared" ca="1" si="70"/>
        <v>30.744988454240286</v>
      </c>
      <c r="E950">
        <f t="shared" ca="1" si="71"/>
        <v>0</v>
      </c>
      <c r="F950" s="84">
        <f t="shared" si="72"/>
        <v>28</v>
      </c>
      <c r="G950">
        <v>28</v>
      </c>
      <c r="H950">
        <v>1</v>
      </c>
      <c r="I950">
        <f t="shared" si="73"/>
        <v>1</v>
      </c>
      <c r="J950">
        <f t="shared" si="74"/>
        <v>3.1845000000000002E-4</v>
      </c>
    </row>
    <row r="951" spans="4:10">
      <c r="D951">
        <f t="shared" ca="1" si="70"/>
        <v>69.83335791709672</v>
      </c>
      <c r="E951">
        <f t="shared" ca="1" si="71"/>
        <v>0</v>
      </c>
      <c r="F951" s="84">
        <f t="shared" si="72"/>
        <v>46</v>
      </c>
      <c r="G951">
        <v>46</v>
      </c>
      <c r="H951">
        <v>1</v>
      </c>
      <c r="I951">
        <f t="shared" si="73"/>
        <v>1</v>
      </c>
      <c r="J951">
        <f t="shared" si="74"/>
        <v>8.7060000000000002E-4</v>
      </c>
    </row>
    <row r="952" spans="4:10">
      <c r="D952">
        <f t="shared" ca="1" si="70"/>
        <v>34.636222290456288</v>
      </c>
      <c r="E952">
        <f t="shared" ca="1" si="71"/>
        <v>1</v>
      </c>
      <c r="F952" s="84">
        <f t="shared" si="72"/>
        <v>24</v>
      </c>
      <c r="G952">
        <v>24</v>
      </c>
      <c r="H952">
        <v>1</v>
      </c>
      <c r="I952">
        <f t="shared" si="73"/>
        <v>1</v>
      </c>
      <c r="J952">
        <f t="shared" si="74"/>
        <v>2.5754E-4</v>
      </c>
    </row>
    <row r="953" spans="4:10">
      <c r="D953">
        <f t="shared" ca="1" si="70"/>
        <v>16.705093230206927</v>
      </c>
      <c r="E953">
        <f t="shared" ca="1" si="71"/>
        <v>1</v>
      </c>
      <c r="F953" s="84">
        <f t="shared" si="72"/>
        <v>86</v>
      </c>
      <c r="G953">
        <v>86</v>
      </c>
      <c r="H953">
        <v>1</v>
      </c>
      <c r="I953">
        <f t="shared" si="73"/>
        <v>1</v>
      </c>
      <c r="J953">
        <f t="shared" si="74"/>
        <v>5.0170689999999997E-2</v>
      </c>
    </row>
    <row r="954" spans="4:10">
      <c r="D954">
        <f t="shared" ca="1" si="70"/>
        <v>52.313098155075153</v>
      </c>
      <c r="E954">
        <f t="shared" ca="1" si="71"/>
        <v>1</v>
      </c>
      <c r="F954" s="84">
        <f t="shared" si="72"/>
        <v>56</v>
      </c>
      <c r="G954">
        <v>56</v>
      </c>
      <c r="H954">
        <v>1</v>
      </c>
      <c r="I954">
        <f t="shared" si="73"/>
        <v>1</v>
      </c>
      <c r="J954">
        <f t="shared" si="74"/>
        <v>2.2598000000000002E-3</v>
      </c>
    </row>
    <row r="955" spans="4:10">
      <c r="D955">
        <f t="shared" ca="1" si="70"/>
        <v>46.823890491200238</v>
      </c>
      <c r="E955">
        <f t="shared" ca="1" si="71"/>
        <v>1</v>
      </c>
      <c r="F955" s="84">
        <f t="shared" si="72"/>
        <v>58</v>
      </c>
      <c r="G955">
        <v>58</v>
      </c>
      <c r="H955">
        <v>0</v>
      </c>
      <c r="I955">
        <f t="shared" si="73"/>
        <v>1</v>
      </c>
      <c r="J955">
        <f t="shared" si="74"/>
        <v>5.2128900000000004E-3</v>
      </c>
    </row>
    <row r="956" spans="4:10">
      <c r="D956">
        <f t="shared" ca="1" si="70"/>
        <v>46.919629737347805</v>
      </c>
      <c r="E956">
        <f t="shared" ca="1" si="71"/>
        <v>1</v>
      </c>
      <c r="F956" s="84">
        <f t="shared" si="72"/>
        <v>78</v>
      </c>
      <c r="G956">
        <v>78</v>
      </c>
      <c r="H956">
        <v>0</v>
      </c>
      <c r="I956">
        <f t="shared" si="73"/>
        <v>1</v>
      </c>
      <c r="J956">
        <f t="shared" si="74"/>
        <v>3.5170260000000002E-2</v>
      </c>
    </row>
    <row r="957" spans="4:10">
      <c r="D957">
        <f t="shared" ca="1" si="70"/>
        <v>56.320777325488024</v>
      </c>
      <c r="E957">
        <f t="shared" ca="1" si="71"/>
        <v>1</v>
      </c>
      <c r="F957" s="84">
        <f t="shared" si="72"/>
        <v>75</v>
      </c>
      <c r="G957">
        <v>75</v>
      </c>
      <c r="H957">
        <v>1</v>
      </c>
      <c r="I957">
        <f t="shared" si="73"/>
        <v>1</v>
      </c>
      <c r="J957">
        <f t="shared" si="74"/>
        <v>1.2187669999999999E-2</v>
      </c>
    </row>
    <row r="958" spans="4:10">
      <c r="D958">
        <f t="shared" ca="1" si="70"/>
        <v>21.270775930929798</v>
      </c>
      <c r="E958">
        <f t="shared" ca="1" si="71"/>
        <v>1</v>
      </c>
      <c r="F958" s="84">
        <f t="shared" si="72"/>
        <v>76</v>
      </c>
      <c r="G958">
        <v>76</v>
      </c>
      <c r="H958">
        <v>1</v>
      </c>
      <c r="I958">
        <f t="shared" si="73"/>
        <v>1</v>
      </c>
      <c r="J958">
        <f t="shared" si="74"/>
        <v>1.3984959999999999E-2</v>
      </c>
    </row>
    <row r="959" spans="4:10">
      <c r="D959">
        <f t="shared" ca="1" si="70"/>
        <v>44.074236285759028</v>
      </c>
      <c r="E959">
        <f t="shared" ca="1" si="71"/>
        <v>1</v>
      </c>
      <c r="F959" s="84">
        <f t="shared" si="72"/>
        <v>51</v>
      </c>
      <c r="G959">
        <v>51</v>
      </c>
      <c r="H959">
        <v>1</v>
      </c>
      <c r="I959">
        <f t="shared" si="73"/>
        <v>1</v>
      </c>
      <c r="J959">
        <f t="shared" si="74"/>
        <v>1.4570900000000001E-3</v>
      </c>
    </row>
    <row r="960" spans="4:10">
      <c r="D960">
        <f t="shared" ca="1" si="70"/>
        <v>39.737639120637688</v>
      </c>
      <c r="E960">
        <f t="shared" ca="1" si="71"/>
        <v>1</v>
      </c>
      <c r="F960" s="84">
        <f t="shared" si="72"/>
        <v>44</v>
      </c>
      <c r="G960">
        <v>44</v>
      </c>
      <c r="H960">
        <v>1</v>
      </c>
      <c r="I960">
        <f t="shared" si="73"/>
        <v>1</v>
      </c>
      <c r="J960">
        <f t="shared" si="74"/>
        <v>7.2154999999999995E-4</v>
      </c>
    </row>
    <row r="961" spans="4:10">
      <c r="D961">
        <f t="shared" ca="1" si="70"/>
        <v>32.910485152756415</v>
      </c>
      <c r="E961">
        <f t="shared" ca="1" si="71"/>
        <v>1</v>
      </c>
      <c r="F961" s="84">
        <f t="shared" si="72"/>
        <v>36</v>
      </c>
      <c r="G961">
        <v>36</v>
      </c>
      <c r="H961">
        <v>0</v>
      </c>
      <c r="I961">
        <f t="shared" si="73"/>
        <v>1</v>
      </c>
      <c r="J961">
        <f t="shared" si="74"/>
        <v>7.8529000000000001E-4</v>
      </c>
    </row>
    <row r="962" spans="4:10">
      <c r="D962">
        <f t="shared" ref="D962:D1000" ca="1" si="75">NORMINV(RAND(), mean_age, sd_age)</f>
        <v>57.467294669114899</v>
      </c>
      <c r="E962">
        <f t="shared" ref="E962:E1000" ca="1" si="76">_xlfn.BINOM.INV(1, prop_female, RAND())</f>
        <v>1</v>
      </c>
      <c r="F962" s="84">
        <f t="shared" ref="F962:F1000" si="77">ROUND(G962,0)</f>
        <v>66</v>
      </c>
      <c r="G962">
        <v>66</v>
      </c>
      <c r="H962">
        <v>1</v>
      </c>
      <c r="I962">
        <f t="shared" ref="I962:I1000" si="78">IF(G962&lt;18, 0, 1)</f>
        <v>1</v>
      </c>
      <c r="J962">
        <f t="shared" ref="J962:J1000" si="79">IF(H962=0,VLOOKUP(G962,$M$2:$O$102,2,TRUE),VLOOKUP(G962,$M$2:$O$102,3,TRUE))</f>
        <v>4.7119800000000002E-3</v>
      </c>
    </row>
    <row r="963" spans="4:10">
      <c r="D963">
        <f t="shared" ca="1" si="75"/>
        <v>38.082759063305843</v>
      </c>
      <c r="E963">
        <f t="shared" ca="1" si="76"/>
        <v>1</v>
      </c>
      <c r="F963" s="84">
        <f t="shared" si="77"/>
        <v>71</v>
      </c>
      <c r="G963">
        <v>71</v>
      </c>
      <c r="H963">
        <v>1</v>
      </c>
      <c r="I963">
        <f t="shared" si="78"/>
        <v>1</v>
      </c>
      <c r="J963">
        <f t="shared" si="79"/>
        <v>7.4666999999999997E-3</v>
      </c>
    </row>
    <row r="964" spans="4:10">
      <c r="D964">
        <f t="shared" ca="1" si="75"/>
        <v>41.436275020838202</v>
      </c>
      <c r="E964">
        <f t="shared" ca="1" si="76"/>
        <v>0</v>
      </c>
      <c r="F964" s="84">
        <f t="shared" si="77"/>
        <v>26</v>
      </c>
      <c r="G964">
        <v>26</v>
      </c>
      <c r="H964">
        <v>1</v>
      </c>
      <c r="I964">
        <f t="shared" si="78"/>
        <v>1</v>
      </c>
      <c r="J964">
        <f t="shared" si="79"/>
        <v>3.0111E-4</v>
      </c>
    </row>
    <row r="965" spans="4:10">
      <c r="D965">
        <f t="shared" ca="1" si="75"/>
        <v>45.332423663083041</v>
      </c>
      <c r="E965">
        <f t="shared" ca="1" si="76"/>
        <v>1</v>
      </c>
      <c r="F965" s="84">
        <f t="shared" si="77"/>
        <v>60</v>
      </c>
      <c r="G965">
        <v>60</v>
      </c>
      <c r="H965">
        <v>0</v>
      </c>
      <c r="I965">
        <f t="shared" si="78"/>
        <v>1</v>
      </c>
      <c r="J965">
        <f t="shared" si="79"/>
        <v>6.1923100000000003E-3</v>
      </c>
    </row>
    <row r="966" spans="4:10">
      <c r="D966">
        <f t="shared" ca="1" si="75"/>
        <v>41.484433918897473</v>
      </c>
      <c r="E966">
        <f t="shared" ca="1" si="76"/>
        <v>0</v>
      </c>
      <c r="F966" s="84">
        <f t="shared" si="77"/>
        <v>53</v>
      </c>
      <c r="G966">
        <v>53</v>
      </c>
      <c r="H966">
        <v>1</v>
      </c>
      <c r="I966">
        <f t="shared" si="78"/>
        <v>1</v>
      </c>
      <c r="J966">
        <f t="shared" si="79"/>
        <v>1.7577700000000001E-3</v>
      </c>
    </row>
    <row r="967" spans="4:10">
      <c r="D967">
        <f t="shared" ca="1" si="75"/>
        <v>39.484859113381169</v>
      </c>
      <c r="E967">
        <f t="shared" ca="1" si="76"/>
        <v>0</v>
      </c>
      <c r="F967" s="84">
        <f t="shared" si="77"/>
        <v>54</v>
      </c>
      <c r="G967">
        <v>54</v>
      </c>
      <c r="H967">
        <v>1</v>
      </c>
      <c r="I967">
        <f t="shared" si="78"/>
        <v>1</v>
      </c>
      <c r="J967">
        <f t="shared" si="79"/>
        <v>1.9186400000000001E-3</v>
      </c>
    </row>
    <row r="968" spans="4:10">
      <c r="D968">
        <f t="shared" ca="1" si="75"/>
        <v>32.551106814153265</v>
      </c>
      <c r="E968">
        <f t="shared" ca="1" si="76"/>
        <v>1</v>
      </c>
      <c r="F968" s="84">
        <f t="shared" si="77"/>
        <v>37</v>
      </c>
      <c r="G968">
        <v>37</v>
      </c>
      <c r="H968">
        <v>1</v>
      </c>
      <c r="I968">
        <f t="shared" si="78"/>
        <v>1</v>
      </c>
      <c r="J968">
        <f t="shared" si="79"/>
        <v>4.1611000000000003E-4</v>
      </c>
    </row>
    <row r="969" spans="4:10">
      <c r="D969">
        <f t="shared" ca="1" si="75"/>
        <v>53.555504125850391</v>
      </c>
      <c r="E969">
        <f t="shared" ca="1" si="76"/>
        <v>0</v>
      </c>
      <c r="F969" s="84">
        <f t="shared" si="77"/>
        <v>30</v>
      </c>
      <c r="G969">
        <v>30</v>
      </c>
      <c r="H969">
        <v>0</v>
      </c>
      <c r="I969">
        <f t="shared" si="78"/>
        <v>1</v>
      </c>
      <c r="J969">
        <f t="shared" si="79"/>
        <v>5.5917E-4</v>
      </c>
    </row>
    <row r="970" spans="4:10">
      <c r="D970">
        <f t="shared" ca="1" si="75"/>
        <v>22.193791186545567</v>
      </c>
      <c r="E970">
        <f t="shared" ca="1" si="76"/>
        <v>1</v>
      </c>
      <c r="F970" s="84">
        <f t="shared" si="77"/>
        <v>61</v>
      </c>
      <c r="G970">
        <v>61</v>
      </c>
      <c r="H970">
        <v>1</v>
      </c>
      <c r="I970">
        <f t="shared" si="78"/>
        <v>1</v>
      </c>
      <c r="J970">
        <f t="shared" si="79"/>
        <v>3.2876200000000002E-3</v>
      </c>
    </row>
    <row r="971" spans="4:10">
      <c r="D971">
        <f t="shared" ca="1" si="75"/>
        <v>27.218529902037378</v>
      </c>
      <c r="E971">
        <f t="shared" ca="1" si="76"/>
        <v>1</v>
      </c>
      <c r="F971" s="84">
        <f t="shared" si="77"/>
        <v>45</v>
      </c>
      <c r="G971">
        <v>45</v>
      </c>
      <c r="H971">
        <v>1</v>
      </c>
      <c r="I971">
        <f t="shared" si="78"/>
        <v>1</v>
      </c>
      <c r="J971">
        <f t="shared" si="79"/>
        <v>7.9022999999999995E-4</v>
      </c>
    </row>
    <row r="972" spans="4:10">
      <c r="D972">
        <f t="shared" ca="1" si="75"/>
        <v>56.823024621209754</v>
      </c>
      <c r="E972">
        <f t="shared" ca="1" si="76"/>
        <v>1</v>
      </c>
      <c r="F972" s="84">
        <f t="shared" si="77"/>
        <v>33</v>
      </c>
      <c r="G972">
        <v>33</v>
      </c>
      <c r="H972">
        <v>1</v>
      </c>
      <c r="I972">
        <f t="shared" si="78"/>
        <v>1</v>
      </c>
      <c r="J972">
        <f t="shared" si="79"/>
        <v>3.1915999999999997E-4</v>
      </c>
    </row>
    <row r="973" spans="4:10">
      <c r="D973">
        <f t="shared" ca="1" si="75"/>
        <v>43.477143709098165</v>
      </c>
      <c r="E973">
        <f t="shared" ca="1" si="76"/>
        <v>1</v>
      </c>
      <c r="F973" s="84">
        <f t="shared" si="77"/>
        <v>57</v>
      </c>
      <c r="G973">
        <v>57</v>
      </c>
      <c r="H973">
        <v>0</v>
      </c>
      <c r="I973">
        <f t="shared" si="78"/>
        <v>1</v>
      </c>
      <c r="J973">
        <f t="shared" si="79"/>
        <v>4.8062900000000004E-3</v>
      </c>
    </row>
    <row r="974" spans="4:10">
      <c r="D974">
        <f t="shared" ca="1" si="75"/>
        <v>45.485335435576907</v>
      </c>
      <c r="E974">
        <f t="shared" ca="1" si="76"/>
        <v>1</v>
      </c>
      <c r="F974" s="84">
        <f t="shared" si="77"/>
        <v>41</v>
      </c>
      <c r="G974">
        <v>41</v>
      </c>
      <c r="H974">
        <v>1</v>
      </c>
      <c r="I974">
        <f t="shared" si="78"/>
        <v>1</v>
      </c>
      <c r="J974">
        <f t="shared" si="79"/>
        <v>5.6607000000000001E-4</v>
      </c>
    </row>
    <row r="975" spans="4:10">
      <c r="D975">
        <f t="shared" ca="1" si="75"/>
        <v>75.77719319243198</v>
      </c>
      <c r="E975">
        <f t="shared" ca="1" si="76"/>
        <v>1</v>
      </c>
      <c r="F975" s="84">
        <f t="shared" si="77"/>
        <v>57</v>
      </c>
      <c r="G975">
        <v>57</v>
      </c>
      <c r="H975">
        <v>0</v>
      </c>
      <c r="I975">
        <f t="shared" si="78"/>
        <v>1</v>
      </c>
      <c r="J975">
        <f t="shared" si="79"/>
        <v>4.8062900000000004E-3</v>
      </c>
    </row>
    <row r="976" spans="4:10">
      <c r="D976">
        <f t="shared" ca="1" si="75"/>
        <v>72.485991872816285</v>
      </c>
      <c r="E976">
        <f t="shared" ca="1" si="76"/>
        <v>0</v>
      </c>
      <c r="F976" s="84">
        <f t="shared" si="77"/>
        <v>71</v>
      </c>
      <c r="G976">
        <v>71</v>
      </c>
      <c r="H976">
        <v>1</v>
      </c>
      <c r="I976">
        <f t="shared" si="78"/>
        <v>1</v>
      </c>
      <c r="J976">
        <f t="shared" si="79"/>
        <v>7.4666999999999997E-3</v>
      </c>
    </row>
    <row r="977" spans="4:10">
      <c r="D977">
        <f t="shared" ca="1" si="75"/>
        <v>66.781301004261678</v>
      </c>
      <c r="E977">
        <f t="shared" ca="1" si="76"/>
        <v>1</v>
      </c>
      <c r="F977" s="84">
        <f t="shared" si="77"/>
        <v>72</v>
      </c>
      <c r="G977">
        <v>72</v>
      </c>
      <c r="H977">
        <v>0</v>
      </c>
      <c r="I977">
        <f t="shared" si="78"/>
        <v>1</v>
      </c>
      <c r="J977">
        <f t="shared" si="79"/>
        <v>1.7573970000000001E-2</v>
      </c>
    </row>
    <row r="978" spans="4:10">
      <c r="D978">
        <f t="shared" ca="1" si="75"/>
        <v>38.855462706708252</v>
      </c>
      <c r="E978">
        <f t="shared" ca="1" si="76"/>
        <v>1</v>
      </c>
      <c r="F978" s="84">
        <f t="shared" si="77"/>
        <v>46</v>
      </c>
      <c r="G978">
        <v>46</v>
      </c>
      <c r="H978">
        <v>0</v>
      </c>
      <c r="I978">
        <f t="shared" si="78"/>
        <v>1</v>
      </c>
      <c r="J978">
        <f t="shared" si="79"/>
        <v>1.9912900000000002E-3</v>
      </c>
    </row>
    <row r="979" spans="4:10">
      <c r="D979">
        <f t="shared" ca="1" si="75"/>
        <v>45.994857054330353</v>
      </c>
      <c r="E979">
        <f t="shared" ca="1" si="76"/>
        <v>1</v>
      </c>
      <c r="F979" s="84">
        <f t="shared" si="77"/>
        <v>38</v>
      </c>
      <c r="G979">
        <v>38</v>
      </c>
      <c r="H979">
        <v>1</v>
      </c>
      <c r="I979">
        <f t="shared" si="78"/>
        <v>1</v>
      </c>
      <c r="J979">
        <f t="shared" si="79"/>
        <v>4.4977E-4</v>
      </c>
    </row>
    <row r="980" spans="4:10">
      <c r="D980">
        <f t="shared" ca="1" si="75"/>
        <v>27.9906990033939</v>
      </c>
      <c r="E980">
        <f t="shared" ca="1" si="76"/>
        <v>1</v>
      </c>
      <c r="F980" s="84">
        <f t="shared" si="77"/>
        <v>40</v>
      </c>
      <c r="G980">
        <v>40</v>
      </c>
      <c r="H980">
        <v>1</v>
      </c>
      <c r="I980">
        <f t="shared" si="78"/>
        <v>1</v>
      </c>
      <c r="J980">
        <f t="shared" si="79"/>
        <v>5.2483E-4</v>
      </c>
    </row>
    <row r="981" spans="4:10">
      <c r="D981">
        <f t="shared" ca="1" si="75"/>
        <v>37.821725116400202</v>
      </c>
      <c r="E981">
        <f t="shared" ca="1" si="76"/>
        <v>0</v>
      </c>
      <c r="F981" s="84">
        <f t="shared" si="77"/>
        <v>36</v>
      </c>
      <c r="G981">
        <v>36</v>
      </c>
      <c r="H981">
        <v>1</v>
      </c>
      <c r="I981">
        <f t="shared" si="78"/>
        <v>1</v>
      </c>
      <c r="J981">
        <f t="shared" si="79"/>
        <v>3.8510999999999998E-4</v>
      </c>
    </row>
    <row r="982" spans="4:10">
      <c r="D982">
        <f t="shared" ca="1" si="75"/>
        <v>57.504549524817321</v>
      </c>
      <c r="E982">
        <f t="shared" ca="1" si="76"/>
        <v>0</v>
      </c>
      <c r="F982" s="84">
        <f t="shared" si="77"/>
        <v>25</v>
      </c>
      <c r="G982">
        <v>25</v>
      </c>
      <c r="H982">
        <v>1</v>
      </c>
      <c r="I982">
        <f t="shared" si="78"/>
        <v>1</v>
      </c>
      <c r="J982">
        <f t="shared" si="79"/>
        <v>2.8196999999999999E-4</v>
      </c>
    </row>
    <row r="983" spans="4:10">
      <c r="D983">
        <f t="shared" ca="1" si="75"/>
        <v>56.362105208427366</v>
      </c>
      <c r="E983">
        <f t="shared" ca="1" si="76"/>
        <v>1</v>
      </c>
      <c r="F983" s="84">
        <f t="shared" si="77"/>
        <v>17</v>
      </c>
      <c r="G983">
        <v>17</v>
      </c>
      <c r="H983">
        <v>0</v>
      </c>
      <c r="I983">
        <f t="shared" si="78"/>
        <v>0</v>
      </c>
      <c r="J983">
        <f t="shared" si="79"/>
        <v>3.0355999999999997E-4</v>
      </c>
    </row>
    <row r="984" spans="4:10">
      <c r="D984">
        <f t="shared" ca="1" si="75"/>
        <v>46.907065969165423</v>
      </c>
      <c r="E984">
        <f t="shared" ca="1" si="76"/>
        <v>1</v>
      </c>
      <c r="F984" s="84">
        <f t="shared" si="77"/>
        <v>64</v>
      </c>
      <c r="G984">
        <v>64</v>
      </c>
      <c r="H984">
        <v>1</v>
      </c>
      <c r="I984">
        <f t="shared" si="78"/>
        <v>1</v>
      </c>
      <c r="J984">
        <f t="shared" si="79"/>
        <v>4.06529E-3</v>
      </c>
    </row>
    <row r="985" spans="4:10">
      <c r="D985">
        <f t="shared" ca="1" si="75"/>
        <v>26.647222491803543</v>
      </c>
      <c r="E985">
        <f t="shared" ca="1" si="76"/>
        <v>1</v>
      </c>
      <c r="F985" s="84">
        <f t="shared" si="77"/>
        <v>54</v>
      </c>
      <c r="G985">
        <v>54</v>
      </c>
      <c r="H985">
        <v>1</v>
      </c>
      <c r="I985">
        <f t="shared" si="78"/>
        <v>1</v>
      </c>
      <c r="J985">
        <f t="shared" si="79"/>
        <v>1.9186400000000001E-3</v>
      </c>
    </row>
    <row r="986" spans="4:10">
      <c r="D986">
        <f t="shared" ca="1" si="75"/>
        <v>15.914944770187358</v>
      </c>
      <c r="E986">
        <f t="shared" ca="1" si="76"/>
        <v>1</v>
      </c>
      <c r="F986" s="84">
        <f t="shared" si="77"/>
        <v>54</v>
      </c>
      <c r="G986">
        <v>54</v>
      </c>
      <c r="H986">
        <v>1</v>
      </c>
      <c r="I986">
        <f t="shared" si="78"/>
        <v>1</v>
      </c>
      <c r="J986">
        <f t="shared" si="79"/>
        <v>1.9186400000000001E-3</v>
      </c>
    </row>
    <row r="987" spans="4:10">
      <c r="D987">
        <f t="shared" ca="1" si="75"/>
        <v>30.365299408873341</v>
      </c>
      <c r="E987">
        <f t="shared" ca="1" si="76"/>
        <v>1</v>
      </c>
      <c r="F987" s="84">
        <f t="shared" si="77"/>
        <v>34</v>
      </c>
      <c r="G987">
        <v>34</v>
      </c>
      <c r="H987">
        <v>1</v>
      </c>
      <c r="I987">
        <f t="shared" si="78"/>
        <v>1</v>
      </c>
      <c r="J987">
        <f t="shared" si="79"/>
        <v>3.3452999999999998E-4</v>
      </c>
    </row>
    <row r="988" spans="4:10">
      <c r="D988">
        <f t="shared" ca="1" si="75"/>
        <v>33.200734219633986</v>
      </c>
      <c r="E988">
        <f t="shared" ca="1" si="76"/>
        <v>1</v>
      </c>
      <c r="F988" s="84">
        <f t="shared" si="77"/>
        <v>39</v>
      </c>
      <c r="G988">
        <v>39</v>
      </c>
      <c r="H988">
        <v>0</v>
      </c>
      <c r="I988">
        <f t="shared" si="78"/>
        <v>1</v>
      </c>
      <c r="J988">
        <f t="shared" si="79"/>
        <v>9.5204999999999997E-4</v>
      </c>
    </row>
    <row r="989" spans="4:10">
      <c r="D989">
        <f t="shared" ca="1" si="75"/>
        <v>56.062958524717999</v>
      </c>
      <c r="E989">
        <f t="shared" ca="1" si="76"/>
        <v>1</v>
      </c>
      <c r="F989" s="84">
        <f t="shared" si="77"/>
        <v>54</v>
      </c>
      <c r="G989">
        <v>54</v>
      </c>
      <c r="H989">
        <v>1</v>
      </c>
      <c r="I989">
        <f t="shared" si="78"/>
        <v>1</v>
      </c>
      <c r="J989">
        <f t="shared" si="79"/>
        <v>1.9186400000000001E-3</v>
      </c>
    </row>
    <row r="990" spans="4:10">
      <c r="D990">
        <f t="shared" ca="1" si="75"/>
        <v>37.222657918354443</v>
      </c>
      <c r="E990">
        <f t="shared" ca="1" si="76"/>
        <v>0</v>
      </c>
      <c r="F990" s="84">
        <f t="shared" si="77"/>
        <v>32</v>
      </c>
      <c r="G990">
        <v>32</v>
      </c>
      <c r="H990">
        <v>0</v>
      </c>
      <c r="I990">
        <f t="shared" si="78"/>
        <v>1</v>
      </c>
      <c r="J990">
        <f t="shared" si="79"/>
        <v>6.2838E-4</v>
      </c>
    </row>
    <row r="991" spans="4:10">
      <c r="D991">
        <f t="shared" ca="1" si="75"/>
        <v>52.109002196175631</v>
      </c>
      <c r="E991">
        <f t="shared" ca="1" si="76"/>
        <v>1</v>
      </c>
      <c r="F991" s="84">
        <f t="shared" si="77"/>
        <v>28</v>
      </c>
      <c r="G991">
        <v>28</v>
      </c>
      <c r="H991">
        <v>0</v>
      </c>
      <c r="I991">
        <f t="shared" si="78"/>
        <v>1</v>
      </c>
      <c r="J991">
        <f t="shared" si="79"/>
        <v>4.8446999999999997E-4</v>
      </c>
    </row>
    <row r="992" spans="4:10">
      <c r="D992">
        <f t="shared" ca="1" si="75"/>
        <v>14.855721694736676</v>
      </c>
      <c r="E992">
        <f t="shared" ca="1" si="76"/>
        <v>1</v>
      </c>
      <c r="F992" s="84">
        <f t="shared" si="77"/>
        <v>86</v>
      </c>
      <c r="G992">
        <v>86</v>
      </c>
      <c r="H992">
        <v>0</v>
      </c>
      <c r="I992">
        <f t="shared" si="78"/>
        <v>1</v>
      </c>
      <c r="J992">
        <f t="shared" si="79"/>
        <v>7.5184769999999998E-2</v>
      </c>
    </row>
    <row r="993" spans="4:10">
      <c r="D993">
        <f t="shared" ca="1" si="75"/>
        <v>36.108147700711676</v>
      </c>
      <c r="E993">
        <f t="shared" ca="1" si="76"/>
        <v>1</v>
      </c>
      <c r="F993" s="84">
        <f t="shared" si="77"/>
        <v>53</v>
      </c>
      <c r="G993">
        <v>53</v>
      </c>
      <c r="H993">
        <v>0</v>
      </c>
      <c r="I993">
        <f t="shared" si="78"/>
        <v>1</v>
      </c>
      <c r="J993">
        <f t="shared" si="79"/>
        <v>3.6235600000000001E-3</v>
      </c>
    </row>
    <row r="994" spans="4:10">
      <c r="D994">
        <f t="shared" ca="1" si="75"/>
        <v>47.755403763266621</v>
      </c>
      <c r="E994">
        <f t="shared" ca="1" si="76"/>
        <v>0</v>
      </c>
      <c r="F994" s="84">
        <f t="shared" si="77"/>
        <v>62</v>
      </c>
      <c r="G994">
        <v>62</v>
      </c>
      <c r="H994">
        <v>0</v>
      </c>
      <c r="I994">
        <f t="shared" si="78"/>
        <v>1</v>
      </c>
      <c r="J994">
        <f t="shared" si="79"/>
        <v>7.3471500000000002E-3</v>
      </c>
    </row>
    <row r="995" spans="4:10">
      <c r="D995">
        <f t="shared" ca="1" si="75"/>
        <v>85.848919293145386</v>
      </c>
      <c r="E995">
        <f t="shared" ca="1" si="76"/>
        <v>1</v>
      </c>
      <c r="F995" s="84">
        <f t="shared" si="77"/>
        <v>53</v>
      </c>
      <c r="G995">
        <v>53</v>
      </c>
      <c r="H995">
        <v>0</v>
      </c>
      <c r="I995">
        <f t="shared" si="78"/>
        <v>1</v>
      </c>
      <c r="J995">
        <f t="shared" si="79"/>
        <v>3.6235600000000001E-3</v>
      </c>
    </row>
    <row r="996" spans="4:10">
      <c r="D996">
        <f t="shared" ca="1" si="75"/>
        <v>24.956527322632951</v>
      </c>
      <c r="E996">
        <f t="shared" ca="1" si="76"/>
        <v>1</v>
      </c>
      <c r="F996" s="84">
        <f t="shared" si="77"/>
        <v>32</v>
      </c>
      <c r="G996">
        <v>32</v>
      </c>
      <c r="H996">
        <v>1</v>
      </c>
      <c r="I996">
        <f t="shared" si="78"/>
        <v>1</v>
      </c>
      <c r="J996">
        <f t="shared" si="79"/>
        <v>3.1137E-4</v>
      </c>
    </row>
    <row r="997" spans="4:10">
      <c r="D997">
        <f t="shared" ca="1" si="75"/>
        <v>11.491578753096377</v>
      </c>
      <c r="E997">
        <f t="shared" ca="1" si="76"/>
        <v>1</v>
      </c>
      <c r="F997" s="84">
        <f t="shared" si="77"/>
        <v>31</v>
      </c>
      <c r="G997">
        <v>31</v>
      </c>
      <c r="H997">
        <v>0</v>
      </c>
      <c r="I997">
        <f t="shared" si="78"/>
        <v>1</v>
      </c>
      <c r="J997">
        <f t="shared" si="79"/>
        <v>5.9367000000000003E-4</v>
      </c>
    </row>
    <row r="998" spans="4:10">
      <c r="D998">
        <f t="shared" ca="1" si="75"/>
        <v>2.9318896592771466</v>
      </c>
      <c r="E998">
        <f t="shared" ca="1" si="76"/>
        <v>1</v>
      </c>
      <c r="F998" s="84">
        <f t="shared" si="77"/>
        <v>49</v>
      </c>
      <c r="G998">
        <v>49</v>
      </c>
      <c r="H998">
        <v>1</v>
      </c>
      <c r="I998">
        <f t="shared" si="78"/>
        <v>1</v>
      </c>
      <c r="J998">
        <f t="shared" si="79"/>
        <v>1.1877400000000001E-3</v>
      </c>
    </row>
    <row r="999" spans="4:10">
      <c r="D999">
        <f t="shared" ca="1" si="75"/>
        <v>37.682952861282864</v>
      </c>
      <c r="E999">
        <f t="shared" ca="1" si="76"/>
        <v>0</v>
      </c>
      <c r="F999" s="84">
        <f t="shared" si="77"/>
        <v>47</v>
      </c>
      <c r="G999">
        <v>47</v>
      </c>
      <c r="H999">
        <v>1</v>
      </c>
      <c r="I999">
        <f t="shared" si="78"/>
        <v>1</v>
      </c>
      <c r="J999">
        <f t="shared" si="79"/>
        <v>9.6336999999999996E-4</v>
      </c>
    </row>
    <row r="1000" spans="4:10">
      <c r="D1000">
        <f t="shared" ca="1" si="75"/>
        <v>42.555083480036487</v>
      </c>
      <c r="E1000">
        <f t="shared" ca="1" si="76"/>
        <v>1</v>
      </c>
      <c r="F1000" s="84">
        <f t="shared" si="77"/>
        <v>43</v>
      </c>
      <c r="G1000">
        <v>43</v>
      </c>
      <c r="H1000">
        <v>1</v>
      </c>
      <c r="I1000">
        <f t="shared" si="78"/>
        <v>1</v>
      </c>
      <c r="J1000">
        <f t="shared" si="79"/>
        <v>6.6288000000000002E-4</v>
      </c>
    </row>
  </sheetData>
  <autoFilter ref="D1:J1000" xr:uid="{1E0369F0-6C5F-C741-9F90-17E20F6E90F3}"/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321F-D6F7-3247-9FAE-FA5EF8B5397C}">
  <dimension ref="A1:R103"/>
  <sheetViews>
    <sheetView tabSelected="1" topLeftCell="A12" workbookViewId="0">
      <selection activeCell="E63" sqref="E63"/>
    </sheetView>
  </sheetViews>
  <sheetFormatPr baseColWidth="10" defaultRowHeight="16"/>
  <cols>
    <col min="1" max="1" width="19.83203125" customWidth="1"/>
    <col min="2" max="17" width="18.5" customWidth="1"/>
  </cols>
  <sheetData>
    <row r="1" spans="1:18">
      <c r="A1" s="7" t="s">
        <v>190</v>
      </c>
    </row>
    <row r="2" spans="1:18">
      <c r="A2" t="s">
        <v>189</v>
      </c>
    </row>
    <row r="3" spans="1:18">
      <c r="A3" t="s">
        <v>188</v>
      </c>
    </row>
    <row r="4" spans="1:18">
      <c r="A4" t="s">
        <v>187</v>
      </c>
    </row>
    <row r="5" spans="1:18">
      <c r="A5" s="7" t="s">
        <v>186</v>
      </c>
    </row>
    <row r="6" spans="1:18" s="3" customFormat="1">
      <c r="A6" s="3" t="s">
        <v>185</v>
      </c>
    </row>
    <row r="7" spans="1:18" s="3" customFormat="1">
      <c r="A7" s="3" t="s">
        <v>184</v>
      </c>
    </row>
    <row r="8" spans="1:18" s="3" customFormat="1">
      <c r="A8" s="83" t="s">
        <v>183</v>
      </c>
      <c r="B8" s="82" t="s">
        <v>182</v>
      </c>
      <c r="C8" s="81" t="s">
        <v>181</v>
      </c>
      <c r="D8" s="81" t="s">
        <v>180</v>
      </c>
      <c r="E8" s="80" t="s">
        <v>179</v>
      </c>
      <c r="F8" s="80" t="s">
        <v>178</v>
      </c>
      <c r="G8" s="75"/>
      <c r="H8" s="75"/>
    </row>
    <row r="9" spans="1:18" s="3" customFormat="1">
      <c r="A9" s="77" t="s">
        <v>177</v>
      </c>
      <c r="B9" s="55">
        <v>7.6987079999999999</v>
      </c>
      <c r="C9" s="3">
        <v>6.8492509999999998</v>
      </c>
      <c r="D9" s="3">
        <v>8.5481639999999999</v>
      </c>
      <c r="E9" s="78" t="s">
        <v>174</v>
      </c>
      <c r="F9" s="55">
        <f ca="1">D97</f>
        <v>7.0125770335409694</v>
      </c>
      <c r="G9" s="79"/>
      <c r="H9" s="75"/>
    </row>
    <row r="10" spans="1:18" s="3" customFormat="1">
      <c r="A10" s="77" t="s">
        <v>176</v>
      </c>
      <c r="B10" s="55">
        <v>1.3483000000000001</v>
      </c>
      <c r="C10" s="3" t="s">
        <v>175</v>
      </c>
      <c r="D10" s="3" t="s">
        <v>175</v>
      </c>
      <c r="E10" s="78" t="s">
        <v>174</v>
      </c>
      <c r="F10" s="55">
        <f ca="1">D98</f>
        <v>1.244095429871428</v>
      </c>
      <c r="G10" s="16"/>
      <c r="H10" s="75"/>
    </row>
    <row r="11" spans="1:18" s="3" customFormat="1">
      <c r="A11" s="77"/>
      <c r="B11" s="76"/>
      <c r="C11" s="76"/>
      <c r="D11" s="76"/>
      <c r="F11" s="16"/>
      <c r="G11" s="16"/>
      <c r="H11" s="75"/>
    </row>
    <row r="12" spans="1:18" s="71" customFormat="1">
      <c r="A12" s="73" t="s">
        <v>173</v>
      </c>
      <c r="B12" s="74"/>
      <c r="C12" s="74"/>
      <c r="D12" s="74"/>
      <c r="F12" s="73"/>
      <c r="G12" s="73"/>
      <c r="H12" s="72"/>
    </row>
    <row r="13" spans="1:18">
      <c r="A13" t="s">
        <v>172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6"/>
    </row>
    <row r="14" spans="1:18">
      <c r="A14" t="s">
        <v>161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6"/>
    </row>
    <row r="15" spans="1:18">
      <c r="A15" s="7" t="s">
        <v>0</v>
      </c>
      <c r="B15" s="60" t="s">
        <v>171</v>
      </c>
      <c r="C15" s="60" t="s">
        <v>170</v>
      </c>
      <c r="D15" s="60" t="s">
        <v>169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6"/>
    </row>
    <row r="16" spans="1:18">
      <c r="A16">
        <v>0</v>
      </c>
      <c r="B16" s="61">
        <v>1</v>
      </c>
      <c r="C16" s="61">
        <v>1</v>
      </c>
      <c r="D16" s="61">
        <v>1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1:17">
      <c r="A17">
        <v>1</v>
      </c>
      <c r="B17" s="61">
        <f>1-LOGNORMDIST($A17,$B$9,EXP($B$10))</f>
        <v>0.97720722689034312</v>
      </c>
      <c r="C17" s="61">
        <f t="shared" ref="C17:C36" si="0">1-LOGNORMDIST($A17,$C$9,EXP($B$10))</f>
        <v>0.96234918039126849</v>
      </c>
      <c r="D17" s="61">
        <f t="shared" ref="D17:D36" si="1">1-LOGNORMDIST($A17,$D$9,EXP($B$10))</f>
        <v>0.98678378291417446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spans="1:17">
      <c r="A18">
        <v>2</v>
      </c>
      <c r="B18" s="61">
        <f t="shared" ref="B18:B36" si="2">1-LOGNORMDIST(A18,$B$9,EXP($B$10))</f>
        <v>0.96556056405789781</v>
      </c>
      <c r="C18" s="61">
        <f t="shared" si="0"/>
        <v>0.94504805910933221</v>
      </c>
      <c r="D18" s="61">
        <f t="shared" si="1"/>
        <v>0.97931494104930372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spans="1:17">
      <c r="A19">
        <v>3</v>
      </c>
      <c r="B19" s="61">
        <f t="shared" si="2"/>
        <v>0.95672844866428808</v>
      </c>
      <c r="C19" s="61">
        <f t="shared" si="0"/>
        <v>0.93232505628470486</v>
      </c>
      <c r="D19" s="61">
        <f t="shared" si="1"/>
        <v>0.97347474854966265</v>
      </c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</row>
    <row r="20" spans="1:17">
      <c r="A20">
        <v>4</v>
      </c>
      <c r="B20" s="61">
        <f t="shared" si="2"/>
        <v>0.94941586455021698</v>
      </c>
      <c r="C20" s="61">
        <f t="shared" si="0"/>
        <v>0.92199623945389719</v>
      </c>
      <c r="D20" s="61">
        <f t="shared" si="1"/>
        <v>0.96854336461104251</v>
      </c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</row>
    <row r="21" spans="1:17">
      <c r="A21">
        <v>5</v>
      </c>
      <c r="B21" s="61">
        <f t="shared" si="2"/>
        <v>0.94309182370128952</v>
      </c>
      <c r="C21" s="61">
        <f t="shared" si="0"/>
        <v>0.91319285059237265</v>
      </c>
      <c r="D21" s="61">
        <f t="shared" si="1"/>
        <v>0.96421610278187952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spans="1:17">
      <c r="A22">
        <v>6</v>
      </c>
      <c r="B22" s="61">
        <f t="shared" si="2"/>
        <v>0.93747586550194018</v>
      </c>
      <c r="C22" s="61">
        <f t="shared" si="0"/>
        <v>0.90546515682634166</v>
      </c>
      <c r="D22" s="61">
        <f t="shared" si="1"/>
        <v>0.96032861008021908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</row>
    <row r="23" spans="1:17">
      <c r="A23">
        <v>7</v>
      </c>
      <c r="B23" s="61">
        <f t="shared" si="2"/>
        <v>0.93239837275541693</v>
      </c>
      <c r="C23" s="61">
        <f t="shared" si="0"/>
        <v>0.89854528592613425</v>
      </c>
      <c r="D23" s="61">
        <f t="shared" si="1"/>
        <v>0.95677989396845886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</row>
    <row r="24" spans="1:17">
      <c r="A24">
        <v>8</v>
      </c>
      <c r="B24" s="61">
        <f t="shared" si="2"/>
        <v>0.92774753351908357</v>
      </c>
      <c r="C24" s="61">
        <f t="shared" si="0"/>
        <v>0.89225882183941685</v>
      </c>
      <c r="D24" s="61">
        <f t="shared" si="1"/>
        <v>0.95350251897785321</v>
      </c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1:17">
      <c r="A25">
        <v>9</v>
      </c>
      <c r="B25" s="61">
        <f t="shared" si="2"/>
        <v>0.92344507167174328</v>
      </c>
      <c r="C25" s="61">
        <f t="shared" si="0"/>
        <v>0.88648492191024042</v>
      </c>
      <c r="D25" s="61">
        <f t="shared" si="1"/>
        <v>0.95044876357486707</v>
      </c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spans="1:17">
      <c r="A26">
        <v>10</v>
      </c>
      <c r="B26" s="61">
        <f t="shared" si="2"/>
        <v>0.9194336915844743</v>
      </c>
      <c r="C26" s="61">
        <f t="shared" si="0"/>
        <v>0.88113592222566794</v>
      </c>
      <c r="D26" s="61">
        <f t="shared" si="1"/>
        <v>0.94758337074881471</v>
      </c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</row>
    <row r="27" spans="1:17">
      <c r="A27">
        <v>11</v>
      </c>
      <c r="B27" s="61">
        <f t="shared" si="2"/>
        <v>0.9156699862551051</v>
      </c>
      <c r="C27" s="61">
        <f t="shared" si="0"/>
        <v>0.87614593055773615</v>
      </c>
      <c r="D27" s="61">
        <f t="shared" si="1"/>
        <v>0.94487941065353964</v>
      </c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spans="1:17">
      <c r="A28">
        <v>12</v>
      </c>
      <c r="B28" s="61">
        <f t="shared" si="2"/>
        <v>0.91212015639163257</v>
      </c>
      <c r="C28" s="61">
        <f t="shared" si="0"/>
        <v>0.87146399934995755</v>
      </c>
      <c r="D28" s="61">
        <f t="shared" si="1"/>
        <v>0.94231576062994449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spans="1:17">
      <c r="A29">
        <v>13</v>
      </c>
      <c r="B29" s="61">
        <f t="shared" si="2"/>
        <v>0.9087572879884025</v>
      </c>
      <c r="C29" s="61">
        <f t="shared" si="0"/>
        <v>0.8670498169249119</v>
      </c>
      <c r="D29" s="61">
        <f t="shared" si="1"/>
        <v>0.93987548987269021</v>
      </c>
    </row>
    <row r="30" spans="1:17">
      <c r="A30">
        <v>14</v>
      </c>
      <c r="B30" s="61">
        <f t="shared" si="2"/>
        <v>0.9055595465644718</v>
      </c>
      <c r="C30" s="61">
        <f t="shared" si="0"/>
        <v>0.86287086889599052</v>
      </c>
      <c r="D30" s="61">
        <f t="shared" si="1"/>
        <v>0.93754478034111477</v>
      </c>
    </row>
    <row r="31" spans="1:17">
      <c r="A31">
        <v>15</v>
      </c>
      <c r="B31" s="61">
        <f t="shared" si="2"/>
        <v>0.90250893704797142</v>
      </c>
      <c r="C31" s="61">
        <f t="shared" si="0"/>
        <v>0.85890050076650881</v>
      </c>
      <c r="D31" s="61">
        <f t="shared" si="1"/>
        <v>0.93531218089334578</v>
      </c>
    </row>
    <row r="32" spans="1:17">
      <c r="A32">
        <v>16</v>
      </c>
      <c r="B32" s="61">
        <f t="shared" si="2"/>
        <v>0.89959042687235113</v>
      </c>
      <c r="C32" s="61">
        <f t="shared" si="0"/>
        <v>0.85511655569757639</v>
      </c>
      <c r="D32" s="61">
        <f t="shared" si="1"/>
        <v>0.93316807675253322</v>
      </c>
    </row>
    <row r="33" spans="1:18">
      <c r="A33">
        <v>17</v>
      </c>
      <c r="B33" s="61">
        <f t="shared" si="2"/>
        <v>0.89679131026168379</v>
      </c>
      <c r="C33" s="61">
        <f t="shared" si="0"/>
        <v>0.85150039209447848</v>
      </c>
      <c r="D33" s="61">
        <f t="shared" si="1"/>
        <v>0.93110430279767931</v>
      </c>
    </row>
    <row r="34" spans="1:18">
      <c r="A34">
        <v>18</v>
      </c>
      <c r="B34" s="61">
        <f t="shared" si="2"/>
        <v>0.89410073734584783</v>
      </c>
      <c r="C34" s="61">
        <f t="shared" si="0"/>
        <v>0.84803615943236221</v>
      </c>
      <c r="D34" s="61">
        <f t="shared" si="1"/>
        <v>0.92911385567403193</v>
      </c>
    </row>
    <row r="35" spans="1:18">
      <c r="A35">
        <v>19</v>
      </c>
      <c r="B35" s="61">
        <f t="shared" si="2"/>
        <v>0.89150935876028636</v>
      </c>
      <c r="C35" s="61">
        <f t="shared" si="0"/>
        <v>0.84471025414987277</v>
      </c>
      <c r="D35" s="61">
        <f t="shared" si="1"/>
        <v>0.9271906754852095</v>
      </c>
    </row>
    <row r="36" spans="1:18">
      <c r="A36">
        <v>20</v>
      </c>
      <c r="B36" s="61">
        <f t="shared" si="2"/>
        <v>0.88900905293894239</v>
      </c>
      <c r="C36" s="61">
        <f t="shared" si="0"/>
        <v>0.84151090390737415</v>
      </c>
      <c r="D36" s="61">
        <f t="shared" si="1"/>
        <v>0.92532947754182182</v>
      </c>
    </row>
    <row r="38" spans="1:18">
      <c r="A38" t="s">
        <v>160</v>
      </c>
    </row>
    <row r="39" spans="1:18">
      <c r="A39" s="7" t="s">
        <v>0</v>
      </c>
      <c r="B39" s="60" t="s">
        <v>168</v>
      </c>
      <c r="C39" s="60" t="s">
        <v>167</v>
      </c>
      <c r="D39" s="60" t="s">
        <v>166</v>
      </c>
      <c r="E39" s="68" t="s">
        <v>159</v>
      </c>
      <c r="F39" s="60" t="s">
        <v>165</v>
      </c>
      <c r="G39" s="60" t="s">
        <v>164</v>
      </c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6"/>
    </row>
    <row r="40" spans="1:18">
      <c r="A40">
        <v>1</v>
      </c>
      <c r="B40" s="65">
        <f t="shared" ref="B40:D59" si="3">1-B17/B16</f>
        <v>2.2792773109656883E-2</v>
      </c>
      <c r="C40" s="58">
        <f t="shared" si="3"/>
        <v>3.7650819608731512E-2</v>
      </c>
      <c r="D40" s="58">
        <f t="shared" si="3"/>
        <v>1.3216217085825543E-2</v>
      </c>
      <c r="E40" s="64">
        <f t="shared" ref="E40:E59" si="4">1-EXP(-(-LN(1-B40)/52)*4)</f>
        <v>1.7720084526103852E-3</v>
      </c>
      <c r="F40" s="57">
        <f t="shared" ref="F40:F59" si="5">1-EXP(-(-LN(1-C40)/52)*4)</f>
        <v>2.9477944502495079E-3</v>
      </c>
      <c r="G40" s="57">
        <f t="shared" ref="G40:G59" si="6">1-EXP(-(-LN(1-D40)/52)*4)</f>
        <v>1.0228863775384456E-3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spans="1:18">
      <c r="A41">
        <v>2</v>
      </c>
      <c r="B41" s="65">
        <f t="shared" si="3"/>
        <v>1.1918314265344954E-2</v>
      </c>
      <c r="C41" s="58">
        <f t="shared" si="3"/>
        <v>1.7978008018775582E-2</v>
      </c>
      <c r="D41" s="58">
        <f t="shared" si="3"/>
        <v>7.5688737433581288E-3</v>
      </c>
      <c r="E41" s="64">
        <f t="shared" si="4"/>
        <v>9.2187533335574834E-4</v>
      </c>
      <c r="F41" s="57">
        <f t="shared" si="5"/>
        <v>1.3945325641818718E-3</v>
      </c>
      <c r="G41" s="57">
        <f t="shared" si="6"/>
        <v>5.8426486834983749E-4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spans="1:18">
      <c r="A42">
        <v>3</v>
      </c>
      <c r="B42" s="65">
        <f t="shared" si="3"/>
        <v>9.1471376549302486E-3</v>
      </c>
      <c r="C42" s="58">
        <f t="shared" si="3"/>
        <v>1.3462810385133528E-2</v>
      </c>
      <c r="D42" s="58">
        <f t="shared" si="3"/>
        <v>5.9635488593521302E-3</v>
      </c>
      <c r="E42" s="64">
        <f t="shared" si="4"/>
        <v>7.0661404568217456E-4</v>
      </c>
      <c r="F42" s="57">
        <f t="shared" si="5"/>
        <v>1.0420916976080496E-3</v>
      </c>
      <c r="G42" s="57">
        <f t="shared" si="6"/>
        <v>4.6000199972162648E-4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</row>
    <row r="43" spans="1:18">
      <c r="A43">
        <v>4</v>
      </c>
      <c r="B43" s="65">
        <f t="shared" si="3"/>
        <v>7.6433225376336678E-3</v>
      </c>
      <c r="C43" s="58">
        <f t="shared" si="3"/>
        <v>1.1078557592314131E-2</v>
      </c>
      <c r="D43" s="58">
        <f t="shared" si="3"/>
        <v>5.0657543464451837E-3</v>
      </c>
      <c r="E43" s="64">
        <f t="shared" si="4"/>
        <v>5.9003220309550297E-4</v>
      </c>
      <c r="F43" s="57">
        <f t="shared" si="5"/>
        <v>8.5658537121158229E-4</v>
      </c>
      <c r="G43" s="57">
        <f t="shared" si="6"/>
        <v>3.9058745297060327E-4</v>
      </c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spans="1:18">
      <c r="A44">
        <v>5</v>
      </c>
      <c r="B44" s="65">
        <f t="shared" si="3"/>
        <v>6.660980804153116E-3</v>
      </c>
      <c r="C44" s="58">
        <f t="shared" si="3"/>
        <v>9.548183045452352E-3</v>
      </c>
      <c r="D44" s="58">
        <f t="shared" si="3"/>
        <v>4.4678039076760934E-3</v>
      </c>
      <c r="E44" s="64">
        <f t="shared" si="4"/>
        <v>5.1396511654133725E-4</v>
      </c>
      <c r="F44" s="57">
        <f t="shared" si="5"/>
        <v>7.3773229556983733E-4</v>
      </c>
      <c r="G44" s="57">
        <f t="shared" si="6"/>
        <v>3.443879441770159E-4</v>
      </c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spans="1:18">
      <c r="A45">
        <v>6</v>
      </c>
      <c r="B45" s="65">
        <f t="shared" si="3"/>
        <v>5.9548371200046635E-3</v>
      </c>
      <c r="C45" s="58">
        <f t="shared" si="3"/>
        <v>8.462280186510629E-3</v>
      </c>
      <c r="D45" s="58">
        <f t="shared" si="3"/>
        <v>4.0317649647673148E-3</v>
      </c>
      <c r="E45" s="64">
        <f t="shared" si="4"/>
        <v>4.5932815841231989E-4</v>
      </c>
      <c r="F45" s="57">
        <f t="shared" si="5"/>
        <v>6.5350088025506459E-4</v>
      </c>
      <c r="G45" s="57">
        <f t="shared" si="6"/>
        <v>3.1071436759888549E-4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spans="1:18">
      <c r="A46">
        <v>7</v>
      </c>
      <c r="B46" s="65">
        <f t="shared" si="3"/>
        <v>5.4161316929526304E-3</v>
      </c>
      <c r="C46" s="58">
        <f t="shared" si="3"/>
        <v>7.6423381375176902E-3</v>
      </c>
      <c r="D46" s="58">
        <f t="shared" si="3"/>
        <v>3.6953143689677503E-3</v>
      </c>
      <c r="E46" s="64">
        <f t="shared" si="4"/>
        <v>4.1767060595909733E-4</v>
      </c>
      <c r="F46" s="57">
        <f t="shared" si="5"/>
        <v>5.8995594183386402E-4</v>
      </c>
      <c r="G46" s="57">
        <f t="shared" si="6"/>
        <v>2.8474090823626952E-4</v>
      </c>
      <c r="H46" s="61"/>
      <c r="I46" s="61"/>
      <c r="J46" s="61"/>
      <c r="K46" s="61"/>
      <c r="L46" s="61"/>
      <c r="M46" s="61"/>
      <c r="N46" s="61"/>
      <c r="O46" s="61"/>
      <c r="P46" s="61"/>
      <c r="Q46" s="61"/>
    </row>
    <row r="47" spans="1:18">
      <c r="A47">
        <v>8</v>
      </c>
      <c r="B47" s="65">
        <f t="shared" si="3"/>
        <v>4.9880387742303745E-3</v>
      </c>
      <c r="C47" s="58">
        <f t="shared" si="3"/>
        <v>6.9962685077558096E-3</v>
      </c>
      <c r="D47" s="58">
        <f t="shared" si="3"/>
        <v>3.425422096833608E-3</v>
      </c>
      <c r="E47" s="64">
        <f t="shared" si="4"/>
        <v>3.8458145753694772E-4</v>
      </c>
      <c r="F47" s="57">
        <f t="shared" si="5"/>
        <v>5.3992012504355813E-4</v>
      </c>
      <c r="G47" s="57">
        <f t="shared" si="6"/>
        <v>2.6391149900384381E-4</v>
      </c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spans="1:18">
      <c r="A48">
        <v>9</v>
      </c>
      <c r="B48" s="65">
        <f t="shared" si="3"/>
        <v>4.6375352042385964E-3</v>
      </c>
      <c r="C48" s="58">
        <f t="shared" si="3"/>
        <v>6.471104334136335E-3</v>
      </c>
      <c r="D48" s="58">
        <f t="shared" si="3"/>
        <v>3.2026715632169633E-3</v>
      </c>
      <c r="E48" s="64">
        <f t="shared" si="4"/>
        <v>3.5749930748574243E-4</v>
      </c>
      <c r="F48" s="57">
        <f t="shared" si="5"/>
        <v>4.9927014598349917E-4</v>
      </c>
      <c r="G48" s="57">
        <f t="shared" si="6"/>
        <v>2.4672425796334885E-4</v>
      </c>
      <c r="H48" s="61"/>
      <c r="I48" s="61"/>
      <c r="J48" s="61"/>
      <c r="K48" s="61"/>
      <c r="L48" s="61"/>
      <c r="M48" s="61"/>
      <c r="N48" s="61"/>
      <c r="O48" s="61"/>
      <c r="P48" s="61"/>
      <c r="Q48" s="61"/>
    </row>
    <row r="49" spans="1:17">
      <c r="A49">
        <v>10</v>
      </c>
      <c r="B49" s="65">
        <f t="shared" si="3"/>
        <v>4.3439292821251252E-3</v>
      </c>
      <c r="C49" s="58">
        <f t="shared" si="3"/>
        <v>6.0339432204286059E-3</v>
      </c>
      <c r="D49" s="58">
        <f t="shared" si="3"/>
        <v>3.0147788453898094E-3</v>
      </c>
      <c r="E49" s="64">
        <f t="shared" si="4"/>
        <v>3.3482020867370288E-4</v>
      </c>
      <c r="F49" s="57">
        <f t="shared" si="5"/>
        <v>4.6544710877149953E-4</v>
      </c>
      <c r="G49" s="57">
        <f t="shared" si="6"/>
        <v>2.3222937254541165E-4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spans="1:17">
      <c r="A50">
        <v>11</v>
      </c>
      <c r="B50" s="65">
        <f t="shared" si="3"/>
        <v>4.0935038206867391E-3</v>
      </c>
      <c r="C50" s="58">
        <f t="shared" si="3"/>
        <v>5.6631349852671597E-3</v>
      </c>
      <c r="D50" s="58">
        <f t="shared" si="3"/>
        <v>2.8535326587024734E-3</v>
      </c>
      <c r="E50" s="64">
        <f t="shared" si="4"/>
        <v>3.1548139008641396E-4</v>
      </c>
      <c r="F50" s="57">
        <f t="shared" si="5"/>
        <v>4.3676853756979828E-4</v>
      </c>
      <c r="G50" s="57">
        <f t="shared" si="6"/>
        <v>2.1979213022660371E-4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spans="1:17">
      <c r="A51">
        <v>12</v>
      </c>
      <c r="B51" s="65">
        <f t="shared" si="3"/>
        <v>3.8767568193324164E-3</v>
      </c>
      <c r="C51" s="58">
        <f t="shared" si="3"/>
        <v>5.3437801221061232E-3</v>
      </c>
      <c r="D51" s="58">
        <f t="shared" si="3"/>
        <v>2.7132033936710931E-3</v>
      </c>
      <c r="E51" s="64">
        <f t="shared" si="4"/>
        <v>2.9874697540721584E-4</v>
      </c>
      <c r="F51" s="57">
        <f t="shared" si="5"/>
        <v>4.1207731784687063E-4</v>
      </c>
      <c r="G51" s="57">
        <f t="shared" si="6"/>
        <v>2.0896976287687608E-4</v>
      </c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spans="1:17">
      <c r="A52">
        <v>13</v>
      </c>
      <c r="B52" s="65">
        <f t="shared" si="3"/>
        <v>3.6868699585959064E-3</v>
      </c>
      <c r="C52" s="58">
        <f t="shared" si="3"/>
        <v>5.0652493141866151E-3</v>
      </c>
      <c r="D52" s="58">
        <f t="shared" si="3"/>
        <v>2.5896529159429305E-3</v>
      </c>
      <c r="E52" s="64">
        <f t="shared" si="4"/>
        <v>2.8408911713417861E-4</v>
      </c>
      <c r="F52" s="57">
        <f t="shared" si="5"/>
        <v>3.9054842179586657E-4</v>
      </c>
      <c r="G52" s="57">
        <f t="shared" si="6"/>
        <v>1.994425600201355E-4</v>
      </c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spans="1:17">
      <c r="A53">
        <v>14</v>
      </c>
      <c r="B53" s="65">
        <f t="shared" si="3"/>
        <v>3.5188069093884389E-3</v>
      </c>
      <c r="C53" s="58">
        <f t="shared" si="3"/>
        <v>4.8197323237348932E-3</v>
      </c>
      <c r="D53" s="58">
        <f t="shared" si="3"/>
        <v>2.479806694279385E-3</v>
      </c>
      <c r="E53" s="64">
        <f t="shared" si="4"/>
        <v>2.7111804640822523E-4</v>
      </c>
      <c r="F53" s="57">
        <f t="shared" si="5"/>
        <v>3.7157592467595979E-4</v>
      </c>
      <c r="G53" s="57">
        <f t="shared" si="6"/>
        <v>1.9097303213733152E-4</v>
      </c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spans="1:17">
      <c r="A54">
        <v>15</v>
      </c>
      <c r="B54" s="65">
        <f t="shared" si="3"/>
        <v>3.3687563982665036E-3</v>
      </c>
      <c r="C54" s="58">
        <f t="shared" si="3"/>
        <v>4.6013468209462616E-3</v>
      </c>
      <c r="D54" s="58">
        <f t="shared" si="3"/>
        <v>2.3813256652729375E-3</v>
      </c>
      <c r="E54" s="64">
        <f t="shared" si="4"/>
        <v>2.5953888578944539E-4</v>
      </c>
      <c r="F54" s="57">
        <f t="shared" si="5"/>
        <v>3.5470366266487918E-4</v>
      </c>
      <c r="G54" s="57">
        <f t="shared" si="6"/>
        <v>1.8338053223898587E-4</v>
      </c>
      <c r="H54" s="61"/>
      <c r="I54" s="61"/>
      <c r="J54" s="61"/>
      <c r="K54" s="61"/>
      <c r="L54" s="61"/>
      <c r="M54" s="61"/>
      <c r="N54" s="61"/>
      <c r="O54" s="61"/>
      <c r="P54" s="61"/>
      <c r="Q54" s="61"/>
    </row>
    <row r="55" spans="1:17">
      <c r="A55">
        <v>16</v>
      </c>
      <c r="B55" s="65">
        <f t="shared" si="3"/>
        <v>3.2337742661767699E-3</v>
      </c>
      <c r="C55" s="58">
        <f t="shared" si="3"/>
        <v>4.405568590954978E-3</v>
      </c>
      <c r="D55" s="58">
        <f t="shared" si="3"/>
        <v>2.2923941167586337E-3</v>
      </c>
      <c r="E55" s="64">
        <f t="shared" si="4"/>
        <v>2.491239030062431E-4</v>
      </c>
      <c r="F55" s="57">
        <f t="shared" si="5"/>
        <v>3.3958092206409773E-4</v>
      </c>
      <c r="G55" s="57">
        <f t="shared" si="6"/>
        <v>1.7652485416430608E-4</v>
      </c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spans="1:17">
      <c r="A56">
        <v>17</v>
      </c>
      <c r="B56" s="65">
        <f t="shared" si="3"/>
        <v>3.1115455734662678E-3</v>
      </c>
      <c r="C56" s="58">
        <f t="shared" si="3"/>
        <v>4.2288546268970384E-3</v>
      </c>
      <c r="D56" s="58">
        <f t="shared" si="3"/>
        <v>2.2115779635710764E-3</v>
      </c>
      <c r="E56" s="64">
        <f t="shared" si="4"/>
        <v>2.3969407621338146E-4</v>
      </c>
      <c r="F56" s="57">
        <f t="shared" si="5"/>
        <v>3.2593314312168165E-4</v>
      </c>
      <c r="G56" s="57">
        <f t="shared" si="6"/>
        <v>1.7029527609557782E-4</v>
      </c>
      <c r="H56" s="61"/>
      <c r="I56" s="61"/>
      <c r="J56" s="61"/>
      <c r="K56" s="61"/>
      <c r="L56" s="61"/>
      <c r="M56" s="61"/>
      <c r="N56" s="61"/>
      <c r="O56" s="61"/>
      <c r="P56" s="61"/>
      <c r="Q56" s="61"/>
    </row>
    <row r="57" spans="1:17">
      <c r="A57">
        <v>18</v>
      </c>
      <c r="B57" s="65">
        <f t="shared" si="3"/>
        <v>3.0002218855698093E-3</v>
      </c>
      <c r="C57" s="58">
        <f t="shared" si="3"/>
        <v>4.0683864555777216E-3</v>
      </c>
      <c r="D57" s="58">
        <f t="shared" si="3"/>
        <v>2.1377273391033347E-3</v>
      </c>
      <c r="E57" s="64">
        <f t="shared" si="4"/>
        <v>2.3110648874580253E-4</v>
      </c>
      <c r="F57" s="57">
        <f t="shared" si="5"/>
        <v>3.1354197811372941E-4</v>
      </c>
      <c r="G57" s="57">
        <f t="shared" si="6"/>
        <v>1.64603031419297E-4</v>
      </c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spans="1:17">
      <c r="A58">
        <v>19</v>
      </c>
      <c r="B58" s="65">
        <f t="shared" si="3"/>
        <v>2.8983071787347381E-3</v>
      </c>
      <c r="C58" s="58">
        <f t="shared" si="3"/>
        <v>3.9218908834213195E-3</v>
      </c>
      <c r="D58" s="58">
        <f t="shared" si="3"/>
        <v>2.06990798498774E-3</v>
      </c>
      <c r="E58" s="64">
        <f t="shared" si="4"/>
        <v>2.232454927161287E-4</v>
      </c>
      <c r="F58" s="57">
        <f t="shared" si="5"/>
        <v>3.0223137002094447E-4</v>
      </c>
      <c r="G58" s="57">
        <f t="shared" si="6"/>
        <v>1.5937600639504002E-4</v>
      </c>
      <c r="H58" s="61"/>
      <c r="I58" s="61"/>
      <c r="J58" s="61"/>
      <c r="K58" s="61"/>
      <c r="L58" s="61"/>
      <c r="M58" s="61"/>
      <c r="N58" s="61"/>
      <c r="O58" s="61"/>
      <c r="P58" s="61"/>
      <c r="Q58" s="61"/>
    </row>
    <row r="59" spans="1:17">
      <c r="A59">
        <v>20</v>
      </c>
      <c r="B59" s="65">
        <f t="shared" si="3"/>
        <v>2.8045760785067042E-3</v>
      </c>
      <c r="C59" s="58">
        <f t="shared" si="3"/>
        <v>3.7875120217624181E-3</v>
      </c>
      <c r="D59" s="58">
        <f t="shared" si="3"/>
        <v>2.0073518776638766E-3</v>
      </c>
      <c r="E59" s="64">
        <f t="shared" si="4"/>
        <v>2.1601637823753794E-4</v>
      </c>
      <c r="F59" s="57">
        <f t="shared" si="5"/>
        <v>2.9185761727346105E-4</v>
      </c>
      <c r="G59" s="57">
        <f t="shared" si="6"/>
        <v>1.5455492505622725E-4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spans="1:17">
      <c r="B60" s="63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</row>
    <row r="61" spans="1:17" s="62" customFormat="1">
      <c r="A61" s="62" t="s">
        <v>163</v>
      </c>
    </row>
    <row r="62" spans="1:17">
      <c r="A62" t="s">
        <v>162</v>
      </c>
    </row>
    <row r="63" spans="1:17">
      <c r="A63" t="s">
        <v>161</v>
      </c>
    </row>
    <row r="64" spans="1:17">
      <c r="A64">
        <v>0</v>
      </c>
      <c r="B64" s="61">
        <v>1</v>
      </c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</row>
    <row r="65" spans="1:17">
      <c r="A65">
        <v>1</v>
      </c>
      <c r="B65" s="61">
        <f t="shared" ref="B65:B74" ca="1" si="7">1-LOGNORMDIST(A65,$F$9,EXP($F$10))</f>
        <v>0.97836193623711964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spans="1:17">
      <c r="A66">
        <v>2</v>
      </c>
      <c r="B66" s="61">
        <f t="shared" ca="1" si="7"/>
        <v>0.9657170187933164</v>
      </c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</row>
    <row r="67" spans="1:17">
      <c r="A67">
        <v>3</v>
      </c>
      <c r="B67" s="61">
        <f t="shared" ca="1" si="7"/>
        <v>0.95584806295066482</v>
      </c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</row>
    <row r="68" spans="1:17">
      <c r="A68">
        <v>4</v>
      </c>
      <c r="B68" s="61">
        <f t="shared" ca="1" si="7"/>
        <v>0.94754510095671296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spans="1:17">
      <c r="A69">
        <v>5</v>
      </c>
      <c r="B69" s="61">
        <f t="shared" ca="1" si="7"/>
        <v>0.940287634039356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</row>
    <row r="70" spans="1:17">
      <c r="A70">
        <v>6</v>
      </c>
      <c r="B70" s="61">
        <f t="shared" ca="1" si="7"/>
        <v>0.93379262276589858</v>
      </c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</row>
    <row r="71" spans="1:17">
      <c r="A71">
        <v>7</v>
      </c>
      <c r="B71" s="61">
        <f t="shared" ca="1" si="7"/>
        <v>0.92788531880034997</v>
      </c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</row>
    <row r="72" spans="1:17">
      <c r="A72">
        <v>8</v>
      </c>
      <c r="B72" s="61">
        <f t="shared" ca="1" si="7"/>
        <v>0.92244869162255627</v>
      </c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</row>
    <row r="73" spans="1:17">
      <c r="A73">
        <v>9</v>
      </c>
      <c r="B73" s="61">
        <f t="shared" ca="1" si="7"/>
        <v>0.91739976561363989</v>
      </c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</row>
    <row r="74" spans="1:17">
      <c r="A74">
        <v>10</v>
      </c>
      <c r="B74" s="61">
        <f t="shared" ca="1" si="7"/>
        <v>0.91267716362106699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spans="1:17">
      <c r="B75" s="61"/>
      <c r="C75" s="61"/>
    </row>
    <row r="76" spans="1:17">
      <c r="A76" t="s">
        <v>160</v>
      </c>
      <c r="C76" s="60"/>
      <c r="D76" s="60"/>
      <c r="E76" s="60" t="s">
        <v>159</v>
      </c>
      <c r="F76" s="60"/>
      <c r="G76" s="60"/>
    </row>
    <row r="77" spans="1:17">
      <c r="A77">
        <v>1</v>
      </c>
      <c r="B77" s="59">
        <f t="shared" ref="B77:B86" ca="1" si="8">1-B65/B64</f>
        <v>2.1638063762880355E-2</v>
      </c>
      <c r="C77" s="58"/>
      <c r="D77" s="58"/>
      <c r="E77" s="57">
        <f t="shared" ref="E77:E86" ca="1" si="9">1-EXP(-(-LN(1-B77)/52)*4)</f>
        <v>1.6813234092993845E-3</v>
      </c>
      <c r="F77" s="57"/>
      <c r="G77" s="57"/>
      <c r="H77" s="55"/>
      <c r="I77" s="55"/>
      <c r="J77" s="55"/>
      <c r="K77" s="55"/>
      <c r="L77" s="55"/>
      <c r="M77" s="55"/>
      <c r="N77" s="55"/>
      <c r="O77" s="55"/>
      <c r="P77" s="55"/>
      <c r="Q77" s="55"/>
    </row>
    <row r="78" spans="1:17">
      <c r="A78">
        <v>2</v>
      </c>
      <c r="B78" s="59">
        <f t="shared" ca="1" si="8"/>
        <v>1.2924580337249081E-2</v>
      </c>
      <c r="C78" s="58"/>
      <c r="D78" s="58"/>
      <c r="E78" s="57">
        <f t="shared" ca="1" si="9"/>
        <v>1.0001786749169739E-3</v>
      </c>
      <c r="F78" s="57"/>
      <c r="G78" s="57"/>
      <c r="H78" s="55"/>
      <c r="I78" s="55"/>
      <c r="J78" s="55"/>
      <c r="K78" s="55"/>
      <c r="L78" s="55"/>
      <c r="M78" s="55"/>
      <c r="N78" s="55"/>
      <c r="O78" s="55"/>
      <c r="P78" s="55"/>
      <c r="Q78" s="55"/>
    </row>
    <row r="79" spans="1:17">
      <c r="A79">
        <v>3</v>
      </c>
      <c r="B79" s="59">
        <f t="shared" ca="1" si="8"/>
        <v>1.0219304051390821E-2</v>
      </c>
      <c r="C79" s="58"/>
      <c r="D79" s="58"/>
      <c r="E79" s="57">
        <f t="shared" ca="1" si="9"/>
        <v>7.8983250537845162E-4</v>
      </c>
      <c r="F79" s="57"/>
      <c r="G79" s="57"/>
      <c r="H79" s="55"/>
      <c r="I79" s="55"/>
      <c r="J79" s="55"/>
      <c r="K79" s="55"/>
      <c r="L79" s="55"/>
      <c r="M79" s="55"/>
      <c r="N79" s="55"/>
      <c r="O79" s="55"/>
      <c r="P79" s="55"/>
      <c r="Q79" s="55"/>
    </row>
    <row r="80" spans="1:17">
      <c r="A80">
        <v>4</v>
      </c>
      <c r="B80" s="59">
        <f t="shared" ca="1" si="8"/>
        <v>8.6864872313712205E-3</v>
      </c>
      <c r="C80" s="58"/>
      <c r="D80" s="58"/>
      <c r="E80" s="57">
        <f t="shared" ca="1" si="9"/>
        <v>6.7088521540470403E-4</v>
      </c>
      <c r="F80" s="57"/>
      <c r="G80" s="57"/>
      <c r="H80" s="55"/>
      <c r="I80" s="55"/>
      <c r="J80" s="55"/>
      <c r="K80" s="55"/>
      <c r="L80" s="55"/>
      <c r="M80" s="55"/>
      <c r="N80" s="55"/>
      <c r="O80" s="55"/>
      <c r="P80" s="55"/>
      <c r="Q80" s="55"/>
    </row>
    <row r="81" spans="1:17">
      <c r="A81">
        <v>5</v>
      </c>
      <c r="B81" s="59">
        <f t="shared" ca="1" si="8"/>
        <v>7.6592311120908807E-3</v>
      </c>
      <c r="C81" s="58"/>
      <c r="D81" s="58"/>
      <c r="E81" s="57">
        <f t="shared" ca="1" si="9"/>
        <v>5.9126464656023003E-4</v>
      </c>
      <c r="F81" s="57"/>
      <c r="G81" s="57"/>
      <c r="H81" s="55"/>
      <c r="I81" s="55"/>
      <c r="J81" s="55"/>
      <c r="K81" s="55"/>
      <c r="L81" s="55"/>
      <c r="M81" s="55"/>
      <c r="N81" s="55"/>
      <c r="O81" s="55"/>
      <c r="P81" s="55"/>
      <c r="Q81" s="55"/>
    </row>
    <row r="82" spans="1:17">
      <c r="A82">
        <v>6</v>
      </c>
      <c r="B82" s="59">
        <f t="shared" ca="1" si="8"/>
        <v>6.9074728182435541E-3</v>
      </c>
      <c r="C82" s="58"/>
      <c r="D82" s="58"/>
      <c r="E82" s="57">
        <f t="shared" ca="1" si="9"/>
        <v>5.3304556071476217E-4</v>
      </c>
      <c r="F82" s="57"/>
      <c r="G82" s="57"/>
      <c r="H82" s="55"/>
      <c r="I82" s="55"/>
      <c r="J82" s="55"/>
      <c r="K82" s="55"/>
      <c r="L82" s="55"/>
      <c r="M82" s="55"/>
      <c r="N82" s="55"/>
      <c r="O82" s="55"/>
      <c r="P82" s="55"/>
      <c r="Q82" s="55"/>
    </row>
    <row r="83" spans="1:17">
      <c r="A83">
        <v>7</v>
      </c>
      <c r="B83" s="59">
        <f t="shared" ca="1" si="8"/>
        <v>6.326141181166256E-3</v>
      </c>
      <c r="C83" s="58"/>
      <c r="D83" s="58"/>
      <c r="E83" s="57">
        <f t="shared" ca="1" si="9"/>
        <v>4.8805286386555125E-4</v>
      </c>
      <c r="F83" s="57"/>
      <c r="G83" s="57"/>
      <c r="H83" s="55"/>
      <c r="I83" s="55"/>
      <c r="J83" s="55"/>
      <c r="K83" s="55"/>
      <c r="L83" s="55"/>
      <c r="M83" s="55"/>
      <c r="N83" s="55"/>
      <c r="O83" s="55"/>
      <c r="P83" s="55"/>
      <c r="Q83" s="55"/>
    </row>
    <row r="84" spans="1:17">
      <c r="A84">
        <v>8</v>
      </c>
      <c r="B84" s="59">
        <f t="shared" ca="1" si="8"/>
        <v>5.8591585270716395E-3</v>
      </c>
      <c r="C84" s="58"/>
      <c r="D84" s="58"/>
      <c r="E84" s="57">
        <f t="shared" ca="1" si="9"/>
        <v>4.5192790674519756E-4</v>
      </c>
      <c r="F84" s="57"/>
      <c r="G84" s="57"/>
      <c r="H84" s="55"/>
      <c r="I84" s="55"/>
      <c r="J84" s="55"/>
      <c r="K84" s="55"/>
      <c r="L84" s="55"/>
      <c r="M84" s="55"/>
      <c r="N84" s="55"/>
      <c r="O84" s="55"/>
      <c r="P84" s="55"/>
      <c r="Q84" s="55"/>
    </row>
    <row r="85" spans="1:17">
      <c r="A85">
        <v>9</v>
      </c>
      <c r="B85" s="59">
        <f t="shared" ca="1" si="8"/>
        <v>5.4733949484339073E-3</v>
      </c>
      <c r="C85" s="58"/>
      <c r="D85" s="58"/>
      <c r="E85" s="57">
        <f t="shared" ca="1" si="9"/>
        <v>4.22097726858639E-4</v>
      </c>
      <c r="F85" s="57"/>
      <c r="G85" s="57"/>
      <c r="H85" s="55"/>
      <c r="I85" s="55"/>
      <c r="J85" s="55"/>
      <c r="K85" s="55"/>
      <c r="L85" s="55"/>
      <c r="M85" s="55"/>
      <c r="N85" s="55"/>
      <c r="O85" s="55"/>
      <c r="P85" s="55"/>
      <c r="Q85" s="55"/>
    </row>
    <row r="86" spans="1:17">
      <c r="A86">
        <v>10</v>
      </c>
      <c r="B86" s="59">
        <f t="shared" ca="1" si="8"/>
        <v>5.1478125126989127E-3</v>
      </c>
      <c r="C86" s="58"/>
      <c r="D86" s="58"/>
      <c r="E86" s="57">
        <f t="shared" ca="1" si="9"/>
        <v>3.9692952171144213E-4</v>
      </c>
      <c r="F86" s="57"/>
      <c r="G86" s="57"/>
      <c r="H86" s="55"/>
      <c r="I86" s="55"/>
      <c r="J86" s="55"/>
      <c r="K86" s="55"/>
      <c r="L86" s="55"/>
      <c r="M86" s="55"/>
      <c r="N86" s="55"/>
      <c r="O86" s="55"/>
      <c r="P86" s="55"/>
      <c r="Q86" s="55"/>
    </row>
    <row r="88" spans="1:17">
      <c r="A88" s="7" t="s">
        <v>158</v>
      </c>
      <c r="B88" t="s">
        <v>152</v>
      </c>
      <c r="C88" t="s">
        <v>151</v>
      </c>
    </row>
    <row r="89" spans="1:17">
      <c r="A89" t="s">
        <v>152</v>
      </c>
      <c r="B89">
        <v>0.18783918999999999</v>
      </c>
      <c r="C89">
        <v>2.5323535000000001E-2</v>
      </c>
    </row>
    <row r="90" spans="1:17">
      <c r="A90" t="s">
        <v>151</v>
      </c>
      <c r="B90">
        <v>2.532353E-2</v>
      </c>
      <c r="C90">
        <v>3.7336460000000002E-3</v>
      </c>
    </row>
    <row r="92" spans="1:17">
      <c r="A92" s="7" t="s">
        <v>157</v>
      </c>
      <c r="B92" t="s">
        <v>152</v>
      </c>
      <c r="C92" t="s">
        <v>151</v>
      </c>
    </row>
    <row r="93" spans="1:17">
      <c r="A93" t="s">
        <v>152</v>
      </c>
      <c r="B93">
        <f>SQRT(B89)</f>
        <v>0.43340418779702622</v>
      </c>
    </row>
    <row r="94" spans="1:17">
      <c r="A94" t="s">
        <v>151</v>
      </c>
      <c r="B94">
        <f>B90/$B$93</f>
        <v>5.8429361582125805E-2</v>
      </c>
      <c r="C94">
        <f>SQRT(C90-$B$94^2)</f>
        <v>1.7878917895253088E-2</v>
      </c>
    </row>
    <row r="96" spans="1:17">
      <c r="A96" s="7" t="s">
        <v>156</v>
      </c>
      <c r="B96" t="s">
        <v>155</v>
      </c>
      <c r="C96" t="s">
        <v>154</v>
      </c>
      <c r="D96" t="s">
        <v>153</v>
      </c>
    </row>
    <row r="97" spans="1:4">
      <c r="A97" t="s">
        <v>152</v>
      </c>
      <c r="B97">
        <f ca="1">NORMINV(RAND(),0,1)</f>
        <v>-1.5831202968909983</v>
      </c>
      <c r="C97">
        <f ca="1">B93*B97</f>
        <v>-0.68613096645903016</v>
      </c>
      <c r="D97" s="55">
        <f ca="1">B9+C97</f>
        <v>7.0125770335409694</v>
      </c>
    </row>
    <row r="98" spans="1:4">
      <c r="A98" t="s">
        <v>151</v>
      </c>
      <c r="B98">
        <f ca="1">NORMINV(RAND(),0,1)</f>
        <v>-0.65461802230397204</v>
      </c>
      <c r="C98">
        <f ca="1">B94*B97+C94*B98</f>
        <v>-0.10420457012857218</v>
      </c>
      <c r="D98" s="55">
        <f ca="1">B10+C98</f>
        <v>1.244095429871428</v>
      </c>
    </row>
    <row r="99" spans="1:4">
      <c r="D99" s="55"/>
    </row>
    <row r="100" spans="1:4">
      <c r="D100" s="55"/>
    </row>
    <row r="101" spans="1:4">
      <c r="C101" s="56"/>
      <c r="D101" s="55"/>
    </row>
    <row r="102" spans="1:4">
      <c r="C102" s="56"/>
      <c r="D102" s="55"/>
    </row>
    <row r="103" spans="1:4">
      <c r="C103" s="56"/>
      <c r="D103" s="55"/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17</vt:i4>
      </vt:variant>
    </vt:vector>
  </HeadingPairs>
  <TitlesOfParts>
    <vt:vector size="24" baseType="lpstr">
      <vt:lpstr>New_meta_Com_Aug</vt:lpstr>
      <vt:lpstr>New_meta_ESK</vt:lpstr>
      <vt:lpstr>Drug_costs</vt:lpstr>
      <vt:lpstr>Cost_component</vt:lpstr>
      <vt:lpstr>Life table</vt:lpstr>
      <vt:lpstr>Hypothetical population</vt:lpstr>
      <vt:lpstr>tpTRD2DEAD</vt:lpstr>
      <vt:lpstr>cariprazine_ucost</vt:lpstr>
      <vt:lpstr>cariprazine_udose</vt:lpstr>
      <vt:lpstr>esketamine_ucost</vt:lpstr>
      <vt:lpstr>esketamine_udose</vt:lpstr>
      <vt:lpstr>mean_age</vt:lpstr>
      <vt:lpstr>mianserin_ucost</vt:lpstr>
      <vt:lpstr>mianserin_udose</vt:lpstr>
      <vt:lpstr>mirtazapine_ucost</vt:lpstr>
      <vt:lpstr>mirtazapine_udose</vt:lpstr>
      <vt:lpstr>olanzapine_ucost</vt:lpstr>
      <vt:lpstr>olanzapine_udose</vt:lpstr>
      <vt:lpstr>prop_female</vt:lpstr>
      <vt:lpstr>quetiapine_ucost</vt:lpstr>
      <vt:lpstr>quetiapine_udose</vt:lpstr>
      <vt:lpstr>sd_age</vt:lpstr>
      <vt:lpstr>ziprasidone_ucost</vt:lpstr>
      <vt:lpstr>ziprasidone_udose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Chan</dc:creator>
  <cp:lastModifiedBy>Li, Yifan</cp:lastModifiedBy>
  <dcterms:created xsi:type="dcterms:W3CDTF">2024-06-19T09:04:33Z</dcterms:created>
  <dcterms:modified xsi:type="dcterms:W3CDTF">2026-04-10T17:43:17Z</dcterms:modified>
</cp:coreProperties>
</file>